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<sst xmlns="http://schemas.openxmlformats.org/spreadsheetml/2006/main" count="589" uniqueCount="23">
  <si>
    <t xml:space="preserve">PhageorBacteria</t>
  </si>
  <si>
    <t xml:space="preserve">Timepoint</t>
  </si>
  <si>
    <t xml:space="preserve">PhageTiter</t>
  </si>
  <si>
    <t xml:space="preserve">WithBacteria?</t>
  </si>
  <si>
    <t xml:space="preserve">TerrestrialorMicrogravity</t>
  </si>
  <si>
    <t xml:space="preserve">R1PFUorCFU/mL</t>
  </si>
  <si>
    <t xml:space="preserve">R2PFUorCFU/mL</t>
  </si>
  <si>
    <t xml:space="preserve">AvgPFU/CFU/ml</t>
  </si>
  <si>
    <t xml:space="preserve">StDev</t>
  </si>
  <si>
    <t xml:space="preserve">Phage</t>
  </si>
  <si>
    <t xml:space="preserve">1 Hour</t>
  </si>
  <si>
    <t xml:space="preserve">10^2</t>
  </si>
  <si>
    <t xml:space="preserve">Yes</t>
  </si>
  <si>
    <t xml:space="preserve">Terrestrial</t>
  </si>
  <si>
    <t xml:space="preserve">10^4</t>
  </si>
  <si>
    <t xml:space="preserve">10^8</t>
  </si>
  <si>
    <t xml:space="preserve">No</t>
  </si>
  <si>
    <t xml:space="preserve">None</t>
  </si>
  <si>
    <t xml:space="preserve">2 Hour</t>
  </si>
  <si>
    <t xml:space="preserve">4 Hour</t>
  </si>
  <si>
    <t xml:space="preserve">23 Days</t>
  </si>
  <si>
    <t xml:space="preserve">Microgravity</t>
  </si>
  <si>
    <t xml:space="preserve">Bacteria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</si>
</sst>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8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" activeCellId="0" sqref="H1"/>
    </sheetView>
  </sheetViews>
  <sheetFormatPr defaultColWidth="10.6328125" defaultRowHeight="12.8" zeroHeight="false" outlineLevelRow="0" outlineLevelCol="0"/>
  <cols>
    <col collapsed="false" customWidth="true" hidden="false" outlineLevel="0" max="1" min="1" style="0" width="20.07"/>
    <col collapsed="false" customWidth="true" hidden="false" outlineLevel="0" max="2" min="2" style="0" width="18.77"/>
    <col collapsed="false" customWidth="true" hidden="false" outlineLevel="0" max="3" min="3" style="0" width="20.99"/>
    <col collapsed="false" customWidth="true" hidden="false" outlineLevel="0" max="4" min="4" style="0" width="34.59"/>
    <col collapsed="false" customWidth="true" hidden="false" outlineLevel="0" max="5" min="5" style="0" width="29.26"/>
    <col collapsed="false" customWidth="true" hidden="false" outlineLevel="0" max="6" min="6" style="0" width="20.99"/>
    <col collapsed="false" customWidth="true" hidden="false" outlineLevel="0" max="7" min="7" style="0" width="22.82"/>
    <col collapsed="false" customWidth="true" hidden="false" outlineLevel="0" max="8" min="8" style="0" width="28.14"/>
    <col collapsed="false" customWidth="true" hidden="false" outlineLevel="0" max="9" min="9" style="0" width="18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1" t="n">
        <v>180</v>
      </c>
      <c r="G2" s="1" t="n">
        <v>70</v>
      </c>
      <c r="H2" s="1" t="n">
        <v>125</v>
      </c>
      <c r="I2" s="1" t="n">
        <v>77.7817459305202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  <c r="F3" s="1" t="n">
        <v>70</v>
      </c>
      <c r="G3" s="1" t="n">
        <v>70</v>
      </c>
      <c r="H3" s="1" t="n">
        <v>70</v>
      </c>
      <c r="I3" s="1" t="n">
        <v>0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12</v>
      </c>
      <c r="E4" s="0" t="s">
        <v>13</v>
      </c>
      <c r="F4" s="1" t="n">
        <v>100</v>
      </c>
      <c r="G4" s="1" t="n">
        <v>30</v>
      </c>
      <c r="H4" s="1" t="n">
        <v>65</v>
      </c>
      <c r="I4" s="1" t="n">
        <v>49.4974746830583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14</v>
      </c>
      <c r="D5" s="0" t="s">
        <v>12</v>
      </c>
      <c r="E5" s="0" t="s">
        <v>13</v>
      </c>
      <c r="F5" s="1" t="n">
        <v>11600</v>
      </c>
      <c r="G5" s="1" t="n">
        <v>6000</v>
      </c>
      <c r="H5" s="1" t="n">
        <v>8800</v>
      </c>
      <c r="I5" s="1" t="n">
        <v>3959.79797464467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14</v>
      </c>
      <c r="D6" s="0" t="s">
        <v>12</v>
      </c>
      <c r="E6" s="0" t="s">
        <v>13</v>
      </c>
      <c r="F6" s="1" t="n">
        <v>9600</v>
      </c>
      <c r="G6" s="1" t="n">
        <v>6000</v>
      </c>
      <c r="H6" s="1" t="n">
        <v>7800</v>
      </c>
      <c r="I6" s="1" t="n">
        <v>2545.58441227157</v>
      </c>
    </row>
    <row r="7" customFormat="false" ht="12.8" hidden="false" customHeight="false" outlineLevel="0" collapsed="false">
      <c r="A7" s="0" t="s">
        <v>9</v>
      </c>
      <c r="B7" s="0" t="s">
        <v>10</v>
      </c>
      <c r="C7" s="0" t="s">
        <v>14</v>
      </c>
      <c r="D7" s="0" t="s">
        <v>12</v>
      </c>
      <c r="E7" s="0" t="s">
        <v>13</v>
      </c>
      <c r="F7" s="1" t="n">
        <v>8000</v>
      </c>
      <c r="G7" s="1" t="n">
        <v>4400</v>
      </c>
      <c r="H7" s="1" t="n">
        <v>6200</v>
      </c>
      <c r="I7" s="1" t="n">
        <v>2545.58441227157</v>
      </c>
    </row>
    <row r="8" customFormat="false" ht="12.8" hidden="false" customHeight="false" outlineLevel="0" collapsed="false">
      <c r="A8" s="0" t="s">
        <v>9</v>
      </c>
      <c r="B8" s="0" t="s">
        <v>10</v>
      </c>
      <c r="C8" s="0" t="s">
        <v>15</v>
      </c>
      <c r="D8" s="0" t="s">
        <v>16</v>
      </c>
      <c r="E8" s="0" t="s">
        <v>13</v>
      </c>
      <c r="F8" s="1" t="n">
        <v>58400000</v>
      </c>
      <c r="G8" s="1" t="n">
        <v>46000000</v>
      </c>
      <c r="H8" s="1" t="n">
        <v>52200000</v>
      </c>
      <c r="I8" s="1" t="n">
        <v>8768124.08671319</v>
      </c>
    </row>
    <row r="9" customFormat="false" ht="12.8" hidden="false" customHeight="false" outlineLevel="0" collapsed="false">
      <c r="A9" s="0" t="s">
        <v>9</v>
      </c>
      <c r="B9" s="0" t="s">
        <v>10</v>
      </c>
      <c r="C9" s="0" t="s">
        <v>17</v>
      </c>
      <c r="D9" s="0" t="s">
        <v>12</v>
      </c>
      <c r="E9" s="0" t="s">
        <v>13</v>
      </c>
      <c r="F9" s="1" t="n">
        <v>0</v>
      </c>
      <c r="G9" s="1" t="n">
        <v>0</v>
      </c>
      <c r="H9" s="1" t="n">
        <v>0</v>
      </c>
      <c r="I9" s="1" t="n">
        <v>0</v>
      </c>
    </row>
    <row r="10" customFormat="false" ht="12.8" hidden="false" customHeight="false" outlineLevel="0" collapsed="false">
      <c r="A10" s="0" t="s">
        <v>9</v>
      </c>
      <c r="B10" s="0" t="s">
        <v>18</v>
      </c>
      <c r="C10" s="0" t="s">
        <v>11</v>
      </c>
      <c r="D10" s="0" t="s">
        <v>12</v>
      </c>
      <c r="E10" s="0" t="s">
        <v>13</v>
      </c>
      <c r="F10" s="1" t="n">
        <v>110</v>
      </c>
      <c r="G10" s="1" t="n">
        <v>80</v>
      </c>
      <c r="H10" s="1" t="n">
        <v>95</v>
      </c>
      <c r="I10" s="1" t="n">
        <v>21.2132034355964</v>
      </c>
    </row>
    <row r="11" customFormat="false" ht="12.8" hidden="false" customHeight="false" outlineLevel="0" collapsed="false">
      <c r="A11" s="0" t="s">
        <v>9</v>
      </c>
      <c r="B11" s="0" t="s">
        <v>18</v>
      </c>
      <c r="C11" s="0" t="s">
        <v>11</v>
      </c>
      <c r="D11" s="0" t="s">
        <v>12</v>
      </c>
      <c r="E11" s="0" t="s">
        <v>13</v>
      </c>
      <c r="F11" s="1" t="n">
        <v>130</v>
      </c>
      <c r="G11" s="1" t="n">
        <v>110</v>
      </c>
      <c r="H11" s="1" t="n">
        <v>120</v>
      </c>
      <c r="I11" s="1" t="n">
        <v>14.142135623731</v>
      </c>
    </row>
    <row r="12" customFormat="false" ht="12.8" hidden="false" customHeight="false" outlineLevel="0" collapsed="false">
      <c r="A12" s="0" t="s">
        <v>9</v>
      </c>
      <c r="B12" s="0" t="s">
        <v>18</v>
      </c>
      <c r="C12" s="0" t="s">
        <v>11</v>
      </c>
      <c r="D12" s="0" t="s">
        <v>12</v>
      </c>
      <c r="E12" s="0" t="s">
        <v>13</v>
      </c>
      <c r="F12" s="1" t="n">
        <v>70</v>
      </c>
      <c r="G12" s="1" t="n">
        <v>80</v>
      </c>
      <c r="H12" s="1" t="n">
        <v>75</v>
      </c>
      <c r="I12" s="1" t="n">
        <v>7.07106781186548</v>
      </c>
    </row>
    <row r="13" customFormat="false" ht="12.8" hidden="false" customHeight="false" outlineLevel="0" collapsed="false">
      <c r="A13" s="0" t="s">
        <v>9</v>
      </c>
      <c r="B13" s="0" t="s">
        <v>18</v>
      </c>
      <c r="C13" s="0" t="s">
        <v>14</v>
      </c>
      <c r="D13" s="0" t="s">
        <v>12</v>
      </c>
      <c r="E13" s="0" t="s">
        <v>13</v>
      </c>
      <c r="F13" s="1" t="n">
        <v>7600</v>
      </c>
      <c r="G13" s="1" t="n">
        <v>9600</v>
      </c>
      <c r="H13" s="1" t="n">
        <v>8600</v>
      </c>
      <c r="I13" s="1" t="n">
        <v>1414.2135623731</v>
      </c>
    </row>
    <row r="14" customFormat="false" ht="12.8" hidden="false" customHeight="false" outlineLevel="0" collapsed="false">
      <c r="A14" s="0" t="s">
        <v>9</v>
      </c>
      <c r="B14" s="0" t="s">
        <v>18</v>
      </c>
      <c r="C14" s="0" t="s">
        <v>14</v>
      </c>
      <c r="D14" s="0" t="s">
        <v>12</v>
      </c>
      <c r="E14" s="0" t="s">
        <v>13</v>
      </c>
      <c r="F14" s="1" t="n">
        <v>10000</v>
      </c>
      <c r="G14" s="1" t="n">
        <v>8000</v>
      </c>
      <c r="H14" s="1" t="n">
        <v>9000</v>
      </c>
      <c r="I14" s="1" t="n">
        <v>1414.2135623731</v>
      </c>
    </row>
    <row r="15" customFormat="false" ht="12.8" hidden="false" customHeight="false" outlineLevel="0" collapsed="false">
      <c r="A15" s="0" t="s">
        <v>9</v>
      </c>
      <c r="B15" s="0" t="s">
        <v>18</v>
      </c>
      <c r="C15" s="0" t="s">
        <v>14</v>
      </c>
      <c r="D15" s="0" t="s">
        <v>12</v>
      </c>
      <c r="E15" s="0" t="s">
        <v>13</v>
      </c>
      <c r="F15" s="1" t="n">
        <v>11200</v>
      </c>
      <c r="G15" s="1" t="n">
        <v>6800</v>
      </c>
      <c r="H15" s="1" t="n">
        <v>9000</v>
      </c>
      <c r="I15" s="1" t="n">
        <v>3111.26983722081</v>
      </c>
    </row>
    <row r="16" customFormat="false" ht="12.8" hidden="false" customHeight="false" outlineLevel="0" collapsed="false">
      <c r="A16" s="0" t="s">
        <v>9</v>
      </c>
      <c r="B16" s="0" t="s">
        <v>18</v>
      </c>
      <c r="C16" s="0" t="s">
        <v>15</v>
      </c>
      <c r="D16" s="0" t="s">
        <v>16</v>
      </c>
      <c r="E16" s="0" t="s">
        <v>13</v>
      </c>
      <c r="F16" s="1" t="n">
        <v>46800000</v>
      </c>
      <c r="G16" s="1" t="n">
        <v>76000000</v>
      </c>
      <c r="H16" s="1" t="n">
        <v>61400000</v>
      </c>
      <c r="I16" s="1" t="n">
        <v>20647518.0106472</v>
      </c>
    </row>
    <row r="17" customFormat="false" ht="12.8" hidden="false" customHeight="false" outlineLevel="0" collapsed="false">
      <c r="A17" s="0" t="s">
        <v>9</v>
      </c>
      <c r="B17" s="0" t="s">
        <v>18</v>
      </c>
      <c r="C17" s="0" t="s">
        <v>17</v>
      </c>
      <c r="D17" s="0" t="s">
        <v>12</v>
      </c>
      <c r="E17" s="0" t="s">
        <v>13</v>
      </c>
      <c r="F17" s="1" t="n">
        <v>0</v>
      </c>
      <c r="G17" s="1" t="n">
        <v>0</v>
      </c>
      <c r="H17" s="1" t="n">
        <v>0</v>
      </c>
      <c r="I17" s="1" t="n">
        <v>0</v>
      </c>
    </row>
    <row r="18" customFormat="false" ht="12.8" hidden="false" customHeight="false" outlineLevel="0" collapsed="false">
      <c r="A18" s="0" t="s">
        <v>9</v>
      </c>
      <c r="B18" s="0" t="s">
        <v>19</v>
      </c>
      <c r="C18" s="0" t="s">
        <v>11</v>
      </c>
      <c r="D18" s="0" t="s">
        <v>12</v>
      </c>
      <c r="E18" s="0" t="s">
        <v>13</v>
      </c>
      <c r="F18" s="1" t="n">
        <v>3070000000</v>
      </c>
      <c r="G18" s="1" t="n">
        <v>3000000000</v>
      </c>
      <c r="H18" s="1" t="n">
        <v>3035000000</v>
      </c>
      <c r="I18" s="1" t="n">
        <v>49497474.6830583</v>
      </c>
    </row>
    <row r="19" customFormat="false" ht="12.8" hidden="false" customHeight="false" outlineLevel="0" collapsed="false">
      <c r="A19" s="0" t="s">
        <v>9</v>
      </c>
      <c r="B19" s="0" t="s">
        <v>19</v>
      </c>
      <c r="C19" s="0" t="s">
        <v>11</v>
      </c>
      <c r="D19" s="0" t="s">
        <v>12</v>
      </c>
      <c r="E19" s="0" t="s">
        <v>13</v>
      </c>
      <c r="F19" s="1" t="n">
        <v>1100000000</v>
      </c>
      <c r="G19" s="1" t="n">
        <v>1090000000</v>
      </c>
      <c r="H19" s="1" t="n">
        <v>1095000000</v>
      </c>
      <c r="I19" s="1" t="n">
        <v>7071067.81186547</v>
      </c>
    </row>
    <row r="20" customFormat="false" ht="12.8" hidden="false" customHeight="false" outlineLevel="0" collapsed="false">
      <c r="A20" s="0" t="s">
        <v>9</v>
      </c>
      <c r="B20" s="0" t="s">
        <v>19</v>
      </c>
      <c r="C20" s="0" t="s">
        <v>11</v>
      </c>
      <c r="D20" s="0" t="s">
        <v>12</v>
      </c>
      <c r="E20" s="0" t="s">
        <v>13</v>
      </c>
      <c r="F20" s="1" t="n">
        <v>920000000</v>
      </c>
      <c r="G20" s="1" t="n">
        <v>690000000</v>
      </c>
      <c r="H20" s="1" t="n">
        <v>805000000</v>
      </c>
      <c r="I20" s="1" t="n">
        <v>162634559.672907</v>
      </c>
    </row>
    <row r="21" customFormat="false" ht="12.8" hidden="false" customHeight="false" outlineLevel="0" collapsed="false">
      <c r="A21" s="0" t="s">
        <v>9</v>
      </c>
      <c r="B21" s="0" t="s">
        <v>19</v>
      </c>
      <c r="C21" s="0" t="s">
        <v>14</v>
      </c>
      <c r="D21" s="0" t="s">
        <v>12</v>
      </c>
      <c r="E21" s="0" t="s">
        <v>13</v>
      </c>
      <c r="F21" s="1" t="n">
        <v>3000000000</v>
      </c>
      <c r="G21" s="1" t="n">
        <v>3000000000</v>
      </c>
      <c r="H21" s="1" t="n">
        <v>3000000000</v>
      </c>
      <c r="I21" s="1" t="n">
        <v>0</v>
      </c>
    </row>
    <row r="22" customFormat="false" ht="12.8" hidden="false" customHeight="false" outlineLevel="0" collapsed="false">
      <c r="A22" s="0" t="s">
        <v>9</v>
      </c>
      <c r="B22" s="0" t="s">
        <v>19</v>
      </c>
      <c r="C22" s="0" t="s">
        <v>14</v>
      </c>
      <c r="D22" s="0" t="s">
        <v>12</v>
      </c>
      <c r="E22" s="0" t="s">
        <v>13</v>
      </c>
      <c r="F22" s="1" t="n">
        <v>2550000000</v>
      </c>
      <c r="G22" s="1" t="n">
        <v>2300000000</v>
      </c>
      <c r="H22" s="1" t="n">
        <v>2425000000</v>
      </c>
      <c r="I22" s="1" t="n">
        <v>176776695.296637</v>
      </c>
    </row>
    <row r="23" customFormat="false" ht="12.8" hidden="false" customHeight="false" outlineLevel="0" collapsed="false">
      <c r="A23" s="0" t="s">
        <v>9</v>
      </c>
      <c r="B23" s="0" t="s">
        <v>19</v>
      </c>
      <c r="C23" s="0" t="s">
        <v>14</v>
      </c>
      <c r="D23" s="0" t="s">
        <v>12</v>
      </c>
      <c r="E23" s="0" t="s">
        <v>13</v>
      </c>
      <c r="F23" s="1" t="n">
        <v>2650000000</v>
      </c>
      <c r="G23" s="1" t="n">
        <v>3000000000</v>
      </c>
      <c r="H23" s="1" t="n">
        <v>2825000000</v>
      </c>
      <c r="I23" s="1" t="n">
        <v>247487373.415292</v>
      </c>
    </row>
    <row r="24" customFormat="false" ht="12.8" hidden="false" customHeight="false" outlineLevel="0" collapsed="false">
      <c r="A24" s="0" t="s">
        <v>9</v>
      </c>
      <c r="B24" s="0" t="s">
        <v>19</v>
      </c>
      <c r="C24" s="0" t="s">
        <v>15</v>
      </c>
      <c r="D24" s="0" t="s">
        <v>16</v>
      </c>
      <c r="E24" s="0" t="s">
        <v>13</v>
      </c>
      <c r="F24" s="1" t="n">
        <v>58000000</v>
      </c>
      <c r="G24" s="1" t="n">
        <v>64000000</v>
      </c>
      <c r="H24" s="1" t="n">
        <v>61000000</v>
      </c>
      <c r="I24" s="1" t="n">
        <v>4242640.68711929</v>
      </c>
    </row>
    <row r="25" customFormat="false" ht="12.8" hidden="false" customHeight="false" outlineLevel="0" collapsed="false">
      <c r="A25" s="0" t="s">
        <v>9</v>
      </c>
      <c r="B25" s="0" t="s">
        <v>19</v>
      </c>
      <c r="C25" s="0" t="s">
        <v>17</v>
      </c>
      <c r="D25" s="0" t="s">
        <v>12</v>
      </c>
      <c r="E25" s="0" t="s">
        <v>13</v>
      </c>
      <c r="F25" s="1" t="n">
        <v>0</v>
      </c>
      <c r="G25" s="1" t="n">
        <v>0</v>
      </c>
      <c r="H25" s="1" t="n">
        <v>0</v>
      </c>
      <c r="I25" s="1" t="n">
        <v>0</v>
      </c>
    </row>
    <row r="26" customFormat="false" ht="12.8" hidden="false" customHeight="false" outlineLevel="0" collapsed="false">
      <c r="A26" s="0" t="s">
        <v>9</v>
      </c>
      <c r="B26" s="0" t="s">
        <v>20</v>
      </c>
      <c r="C26" s="0" t="s">
        <v>14</v>
      </c>
      <c r="D26" s="0" t="s">
        <v>12</v>
      </c>
      <c r="E26" s="0" t="s">
        <v>13</v>
      </c>
      <c r="F26" s="1" t="n">
        <v>16900000</v>
      </c>
      <c r="G26" s="1" t="n">
        <v>14000000</v>
      </c>
      <c r="H26" s="1" t="n">
        <v>15450000</v>
      </c>
      <c r="I26" s="1" t="n">
        <v>2050609.66544099</v>
      </c>
    </row>
    <row r="27" customFormat="false" ht="12.8" hidden="false" customHeight="false" outlineLevel="0" collapsed="false">
      <c r="A27" s="0" t="s">
        <v>9</v>
      </c>
      <c r="B27" s="0" t="s">
        <v>20</v>
      </c>
      <c r="C27" s="0" t="s">
        <v>14</v>
      </c>
      <c r="D27" s="0" t="s">
        <v>12</v>
      </c>
      <c r="E27" s="0" t="s">
        <v>13</v>
      </c>
      <c r="F27" s="1" t="n">
        <v>21400000</v>
      </c>
      <c r="G27" s="1" t="n">
        <v>15000000</v>
      </c>
      <c r="H27" s="1" t="n">
        <v>18200000</v>
      </c>
      <c r="I27" s="1" t="n">
        <v>4525483.39959391</v>
      </c>
    </row>
    <row r="28" customFormat="false" ht="12.8" hidden="false" customHeight="false" outlineLevel="0" collapsed="false">
      <c r="A28" s="0" t="s">
        <v>9</v>
      </c>
      <c r="B28" s="0" t="s">
        <v>20</v>
      </c>
      <c r="C28" s="0" t="s">
        <v>14</v>
      </c>
      <c r="D28" s="0" t="s">
        <v>12</v>
      </c>
      <c r="E28" s="0" t="s">
        <v>13</v>
      </c>
      <c r="F28" s="1" t="n">
        <v>1400000</v>
      </c>
      <c r="G28" s="1" t="n">
        <v>1700000</v>
      </c>
      <c r="H28" s="1" t="n">
        <v>1550000</v>
      </c>
      <c r="I28" s="1" t="n">
        <v>212132.034355964</v>
      </c>
    </row>
    <row r="29" customFormat="false" ht="12.8" hidden="false" customHeight="false" outlineLevel="0" collapsed="false">
      <c r="A29" s="0" t="s">
        <v>9</v>
      </c>
      <c r="B29" s="0" t="s">
        <v>20</v>
      </c>
      <c r="C29" s="0" t="s">
        <v>15</v>
      </c>
      <c r="D29" s="0" t="s">
        <v>16</v>
      </c>
      <c r="E29" s="0" t="s">
        <v>13</v>
      </c>
      <c r="F29" s="1" t="n">
        <v>44000</v>
      </c>
      <c r="G29" s="1" t="n">
        <v>29000</v>
      </c>
      <c r="H29" s="1" t="n">
        <v>36500</v>
      </c>
      <c r="I29" s="1" t="n">
        <v>10606.6017177982</v>
      </c>
    </row>
    <row r="30" customFormat="false" ht="12.8" hidden="false" customHeight="false" outlineLevel="0" collapsed="false">
      <c r="A30" s="0" t="s">
        <v>9</v>
      </c>
      <c r="B30" s="0" t="s">
        <v>20</v>
      </c>
      <c r="C30" s="0" t="s">
        <v>17</v>
      </c>
      <c r="D30" s="0" t="s">
        <v>12</v>
      </c>
      <c r="E30" s="0" t="s">
        <v>13</v>
      </c>
      <c r="F30" s="1" t="n">
        <v>0</v>
      </c>
      <c r="G30" s="1" t="n">
        <v>0</v>
      </c>
      <c r="H30" s="1" t="n">
        <v>0</v>
      </c>
      <c r="I30" s="1" t="n">
        <v>0</v>
      </c>
    </row>
    <row r="31" customFormat="false" ht="12.8" hidden="false" customHeight="false" outlineLevel="0" collapsed="false">
      <c r="A31" s="0" t="s">
        <v>9</v>
      </c>
      <c r="B31" s="0" t="s">
        <v>10</v>
      </c>
      <c r="C31" s="0" t="s">
        <v>11</v>
      </c>
      <c r="D31" s="0" t="s">
        <v>12</v>
      </c>
      <c r="E31" s="0" t="s">
        <v>21</v>
      </c>
      <c r="F31" s="1" t="n">
        <v>20</v>
      </c>
      <c r="G31" s="1" t="n">
        <v>20</v>
      </c>
      <c r="H31" s="1" t="n">
        <v>20</v>
      </c>
      <c r="I31" s="1" t="n">
        <v>0</v>
      </c>
    </row>
    <row r="32" customFormat="false" ht="12.8" hidden="false" customHeight="false" outlineLevel="0" collapsed="false">
      <c r="A32" s="0" t="s">
        <v>9</v>
      </c>
      <c r="B32" s="0" t="s">
        <v>10</v>
      </c>
      <c r="C32" s="0" t="s">
        <v>11</v>
      </c>
      <c r="D32" s="0" t="s">
        <v>12</v>
      </c>
      <c r="E32" s="0" t="s">
        <v>21</v>
      </c>
      <c r="F32" s="1" t="n">
        <v>20</v>
      </c>
      <c r="G32" s="1" t="n">
        <v>30</v>
      </c>
      <c r="H32" s="1" t="n">
        <v>25</v>
      </c>
      <c r="I32" s="1" t="n">
        <v>7.07106781186548</v>
      </c>
    </row>
    <row r="33" customFormat="false" ht="12.8" hidden="false" customHeight="false" outlineLevel="0" collapsed="false">
      <c r="A33" s="0" t="s">
        <v>9</v>
      </c>
      <c r="B33" s="0" t="s">
        <v>10</v>
      </c>
      <c r="C33" s="0" t="s">
        <v>11</v>
      </c>
      <c r="D33" s="0" t="s">
        <v>12</v>
      </c>
      <c r="E33" s="0" t="s">
        <v>21</v>
      </c>
      <c r="F33" s="1" t="n">
        <v>20</v>
      </c>
      <c r="G33" s="1" t="n">
        <v>30</v>
      </c>
      <c r="H33" s="1" t="n">
        <v>25</v>
      </c>
      <c r="I33" s="1" t="n">
        <v>7.07106781186548</v>
      </c>
    </row>
    <row r="34" customFormat="false" ht="12.8" hidden="false" customHeight="false" outlineLevel="0" collapsed="false">
      <c r="A34" s="0" t="s">
        <v>9</v>
      </c>
      <c r="B34" s="0" t="s">
        <v>10</v>
      </c>
      <c r="C34" s="0" t="s">
        <v>14</v>
      </c>
      <c r="D34" s="0" t="s">
        <v>12</v>
      </c>
      <c r="E34" s="0" t="s">
        <v>21</v>
      </c>
      <c r="F34" s="1" t="n">
        <v>140</v>
      </c>
      <c r="G34" s="1" t="n">
        <v>260</v>
      </c>
      <c r="H34" s="1" t="n">
        <v>200</v>
      </c>
      <c r="I34" s="1" t="n">
        <v>84.8528137423857</v>
      </c>
    </row>
    <row r="35" customFormat="false" ht="12.8" hidden="false" customHeight="false" outlineLevel="0" collapsed="false">
      <c r="A35" s="0" t="s">
        <v>9</v>
      </c>
      <c r="B35" s="0" t="s">
        <v>10</v>
      </c>
      <c r="C35" s="0" t="s">
        <v>14</v>
      </c>
      <c r="D35" s="0" t="s">
        <v>12</v>
      </c>
      <c r="E35" s="0" t="s">
        <v>21</v>
      </c>
      <c r="F35" s="1" t="n">
        <v>200</v>
      </c>
      <c r="G35" s="1" t="n">
        <v>160</v>
      </c>
      <c r="H35" s="1" t="n">
        <v>180</v>
      </c>
      <c r="I35" s="1" t="n">
        <v>28.2842712474619</v>
      </c>
    </row>
    <row r="36" customFormat="false" ht="12.8" hidden="false" customHeight="false" outlineLevel="0" collapsed="false">
      <c r="A36" s="0" t="s">
        <v>9</v>
      </c>
      <c r="B36" s="0" t="s">
        <v>10</v>
      </c>
      <c r="C36" s="0" t="s">
        <v>14</v>
      </c>
      <c r="D36" s="0" t="s">
        <v>12</v>
      </c>
      <c r="E36" s="0" t="s">
        <v>21</v>
      </c>
      <c r="F36" s="1" t="n">
        <v>80</v>
      </c>
      <c r="G36" s="1" t="n">
        <v>400</v>
      </c>
      <c r="H36" s="1" t="n">
        <v>240</v>
      </c>
      <c r="I36" s="1" t="n">
        <v>226.274169979695</v>
      </c>
    </row>
    <row r="37" customFormat="false" ht="12.8" hidden="false" customHeight="false" outlineLevel="0" collapsed="false">
      <c r="A37" s="0" t="s">
        <v>9</v>
      </c>
      <c r="B37" s="0" t="s">
        <v>10</v>
      </c>
      <c r="C37" s="0" t="s">
        <v>15</v>
      </c>
      <c r="D37" s="0" t="s">
        <v>16</v>
      </c>
      <c r="E37" s="0" t="s">
        <v>21</v>
      </c>
      <c r="F37" s="1" t="n">
        <v>1000000</v>
      </c>
      <c r="G37" s="1" t="n">
        <v>1766666.66666667</v>
      </c>
      <c r="H37" s="1" t="n">
        <v>1383333.33333333</v>
      </c>
      <c r="I37" s="1" t="n">
        <v>542115.198909686</v>
      </c>
    </row>
    <row r="38" customFormat="false" ht="12.8" hidden="false" customHeight="false" outlineLevel="0" collapsed="false">
      <c r="A38" s="0" t="s">
        <v>9</v>
      </c>
      <c r="B38" s="0" t="s">
        <v>10</v>
      </c>
      <c r="C38" s="0" t="s">
        <v>17</v>
      </c>
      <c r="D38" s="0" t="s">
        <v>12</v>
      </c>
      <c r="E38" s="0" t="s">
        <v>21</v>
      </c>
      <c r="F38" s="1" t="n">
        <v>0</v>
      </c>
      <c r="G38" s="1" t="n">
        <v>0</v>
      </c>
      <c r="H38" s="1" t="n">
        <v>0</v>
      </c>
      <c r="I38" s="1" t="n">
        <v>0</v>
      </c>
    </row>
    <row r="39" customFormat="false" ht="12.8" hidden="false" customHeight="false" outlineLevel="0" collapsed="false">
      <c r="A39" s="0" t="s">
        <v>9</v>
      </c>
      <c r="B39" s="0" t="s">
        <v>18</v>
      </c>
      <c r="C39" s="0" t="s">
        <v>11</v>
      </c>
      <c r="D39" s="0" t="s">
        <v>12</v>
      </c>
      <c r="E39" s="0" t="s">
        <v>21</v>
      </c>
      <c r="F39" s="1" t="n">
        <v>20</v>
      </c>
      <c r="G39" s="1" t="n">
        <v>10</v>
      </c>
      <c r="H39" s="1" t="n">
        <v>15</v>
      </c>
      <c r="I39" s="1" t="n">
        <v>7.07106781186548</v>
      </c>
    </row>
    <row r="40" customFormat="false" ht="12.8" hidden="false" customHeight="false" outlineLevel="0" collapsed="false">
      <c r="A40" s="0" t="s">
        <v>9</v>
      </c>
      <c r="B40" s="0" t="s">
        <v>18</v>
      </c>
      <c r="C40" s="0" t="s">
        <v>11</v>
      </c>
      <c r="D40" s="0" t="s">
        <v>12</v>
      </c>
      <c r="E40" s="0" t="s">
        <v>21</v>
      </c>
      <c r="F40" s="1" t="n">
        <v>20</v>
      </c>
      <c r="G40" s="1" t="n">
        <v>60</v>
      </c>
      <c r="H40" s="1" t="n">
        <v>40</v>
      </c>
      <c r="I40" s="1" t="n">
        <v>28.2842712474619</v>
      </c>
    </row>
    <row r="41" customFormat="false" ht="12.8" hidden="false" customHeight="false" outlineLevel="0" collapsed="false">
      <c r="A41" s="0" t="s">
        <v>9</v>
      </c>
      <c r="B41" s="0" t="s">
        <v>18</v>
      </c>
      <c r="C41" s="0" t="s">
        <v>11</v>
      </c>
      <c r="D41" s="0" t="s">
        <v>12</v>
      </c>
      <c r="E41" s="0" t="s">
        <v>21</v>
      </c>
      <c r="F41" s="1" t="n">
        <v>20</v>
      </c>
      <c r="G41" s="1" t="n">
        <v>20</v>
      </c>
      <c r="H41" s="1" t="n">
        <v>20</v>
      </c>
      <c r="I41" s="1" t="n">
        <v>0</v>
      </c>
    </row>
    <row r="42" customFormat="false" ht="12.8" hidden="false" customHeight="false" outlineLevel="0" collapsed="false">
      <c r="A42" s="0" t="s">
        <v>9</v>
      </c>
      <c r="B42" s="0" t="s">
        <v>18</v>
      </c>
      <c r="C42" s="0" t="s">
        <v>14</v>
      </c>
      <c r="D42" s="0" t="s">
        <v>12</v>
      </c>
      <c r="E42" s="0" t="s">
        <v>21</v>
      </c>
      <c r="F42" s="1" t="n">
        <v>160</v>
      </c>
      <c r="G42" s="1" t="n">
        <v>280</v>
      </c>
      <c r="H42" s="1" t="n">
        <v>220</v>
      </c>
      <c r="I42" s="1" t="n">
        <v>84.8528137423857</v>
      </c>
    </row>
    <row r="43" customFormat="false" ht="12.8" hidden="false" customHeight="false" outlineLevel="0" collapsed="false">
      <c r="A43" s="0" t="s">
        <v>9</v>
      </c>
      <c r="B43" s="0" t="s">
        <v>18</v>
      </c>
      <c r="C43" s="0" t="s">
        <v>14</v>
      </c>
      <c r="D43" s="0" t="s">
        <v>12</v>
      </c>
      <c r="E43" s="0" t="s">
        <v>21</v>
      </c>
      <c r="F43" s="1" t="n">
        <v>140</v>
      </c>
      <c r="G43" s="1" t="n">
        <v>220</v>
      </c>
      <c r="H43" s="1" t="n">
        <v>180</v>
      </c>
      <c r="I43" s="1" t="n">
        <v>56.5685424949238</v>
      </c>
    </row>
    <row r="44" customFormat="false" ht="12.8" hidden="false" customHeight="false" outlineLevel="0" collapsed="false">
      <c r="A44" s="0" t="s">
        <v>9</v>
      </c>
      <c r="B44" s="0" t="s">
        <v>18</v>
      </c>
      <c r="C44" s="0" t="s">
        <v>14</v>
      </c>
      <c r="D44" s="0" t="s">
        <v>12</v>
      </c>
      <c r="E44" s="0" t="s">
        <v>21</v>
      </c>
      <c r="F44" s="1" t="n">
        <v>300</v>
      </c>
      <c r="G44" s="1" t="n">
        <v>380</v>
      </c>
      <c r="H44" s="1" t="n">
        <v>340</v>
      </c>
      <c r="I44" s="1" t="n">
        <v>56.5685424949238</v>
      </c>
    </row>
    <row r="45" customFormat="false" ht="12.8" hidden="false" customHeight="false" outlineLevel="0" collapsed="false">
      <c r="A45" s="0" t="s">
        <v>9</v>
      </c>
      <c r="B45" s="0" t="s">
        <v>18</v>
      </c>
      <c r="C45" s="0" t="s">
        <v>15</v>
      </c>
      <c r="D45" s="0" t="s">
        <v>16</v>
      </c>
      <c r="E45" s="0" t="s">
        <v>21</v>
      </c>
      <c r="F45" s="1" t="n">
        <v>1000000</v>
      </c>
      <c r="G45" s="1" t="n">
        <v>1300000</v>
      </c>
      <c r="H45" s="1" t="n">
        <v>1150000</v>
      </c>
      <c r="I45" s="1" t="n">
        <v>212132.034355964</v>
      </c>
    </row>
    <row r="46" customFormat="false" ht="12.8" hidden="false" customHeight="false" outlineLevel="0" collapsed="false">
      <c r="A46" s="0" t="s">
        <v>9</v>
      </c>
      <c r="B46" s="0" t="s">
        <v>18</v>
      </c>
      <c r="C46" s="0" t="s">
        <v>17</v>
      </c>
      <c r="D46" s="0" t="s">
        <v>12</v>
      </c>
      <c r="E46" s="0" t="s">
        <v>21</v>
      </c>
      <c r="F46" s="1" t="n">
        <v>0</v>
      </c>
      <c r="G46" s="1" t="n">
        <v>0</v>
      </c>
      <c r="H46" s="1" t="n">
        <v>0</v>
      </c>
      <c r="I46" s="1" t="n">
        <v>0</v>
      </c>
    </row>
    <row r="47" customFormat="false" ht="12.8" hidden="false" customHeight="false" outlineLevel="0" collapsed="false">
      <c r="A47" s="0" t="s">
        <v>9</v>
      </c>
      <c r="B47" s="0" t="s">
        <v>19</v>
      </c>
      <c r="C47" s="0" t="s">
        <v>11</v>
      </c>
      <c r="D47" s="0" t="s">
        <v>12</v>
      </c>
      <c r="E47" s="0" t="s">
        <v>21</v>
      </c>
      <c r="F47" s="1" t="n">
        <v>40</v>
      </c>
      <c r="G47" s="1" t="n">
        <v>10</v>
      </c>
      <c r="H47" s="1" t="n">
        <v>25</v>
      </c>
      <c r="I47" s="1" t="n">
        <v>21.2132034355964</v>
      </c>
    </row>
    <row r="48" customFormat="false" ht="12.8" hidden="false" customHeight="false" outlineLevel="0" collapsed="false">
      <c r="A48" s="0" t="s">
        <v>9</v>
      </c>
      <c r="B48" s="0" t="s">
        <v>19</v>
      </c>
      <c r="C48" s="0" t="s">
        <v>11</v>
      </c>
      <c r="D48" s="0" t="s">
        <v>12</v>
      </c>
      <c r="E48" s="0" t="s">
        <v>21</v>
      </c>
      <c r="F48" s="1" t="n">
        <v>20</v>
      </c>
      <c r="G48" s="1" t="n">
        <v>10</v>
      </c>
      <c r="H48" s="1" t="n">
        <v>15</v>
      </c>
      <c r="I48" s="1" t="n">
        <v>7.07106781186548</v>
      </c>
    </row>
    <row r="49" customFormat="false" ht="12.8" hidden="false" customHeight="false" outlineLevel="0" collapsed="false">
      <c r="A49" s="0" t="s">
        <v>9</v>
      </c>
      <c r="B49" s="0" t="s">
        <v>19</v>
      </c>
      <c r="C49" s="0" t="s">
        <v>11</v>
      </c>
      <c r="D49" s="0" t="s">
        <v>12</v>
      </c>
      <c r="E49" s="0" t="s">
        <v>21</v>
      </c>
      <c r="F49" s="1" t="n">
        <v>20</v>
      </c>
      <c r="G49" s="1" t="n">
        <v>60</v>
      </c>
      <c r="H49" s="1" t="n">
        <v>40</v>
      </c>
      <c r="I49" s="1" t="n">
        <v>28.2842712474619</v>
      </c>
    </row>
    <row r="50" customFormat="false" ht="12.8" hidden="false" customHeight="false" outlineLevel="0" collapsed="false">
      <c r="A50" s="0" t="s">
        <v>9</v>
      </c>
      <c r="B50" s="0" t="s">
        <v>19</v>
      </c>
      <c r="C50" s="0" t="s">
        <v>14</v>
      </c>
      <c r="D50" s="0" t="s">
        <v>12</v>
      </c>
      <c r="E50" s="0" t="s">
        <v>21</v>
      </c>
      <c r="F50" s="1" t="n">
        <v>340</v>
      </c>
      <c r="G50" s="1" t="n">
        <v>340</v>
      </c>
      <c r="H50" s="1" t="n">
        <v>340</v>
      </c>
      <c r="I50" s="1" t="n">
        <v>0</v>
      </c>
    </row>
    <row r="51" customFormat="false" ht="12.8" hidden="false" customHeight="false" outlineLevel="0" collapsed="false">
      <c r="A51" s="0" t="s">
        <v>9</v>
      </c>
      <c r="B51" s="0" t="s">
        <v>19</v>
      </c>
      <c r="C51" s="0" t="s">
        <v>14</v>
      </c>
      <c r="D51" s="0" t="s">
        <v>12</v>
      </c>
      <c r="E51" s="0" t="s">
        <v>21</v>
      </c>
      <c r="F51" s="1" t="n">
        <v>240</v>
      </c>
      <c r="G51" s="1" t="n">
        <v>120</v>
      </c>
      <c r="H51" s="1" t="n">
        <v>180</v>
      </c>
      <c r="I51" s="1" t="n">
        <v>84.8528137423857</v>
      </c>
    </row>
    <row r="52" customFormat="false" ht="12.8" hidden="false" customHeight="false" outlineLevel="0" collapsed="false">
      <c r="A52" s="0" t="s">
        <v>9</v>
      </c>
      <c r="B52" s="0" t="s">
        <v>19</v>
      </c>
      <c r="C52" s="0" t="s">
        <v>14</v>
      </c>
      <c r="D52" s="0" t="s">
        <v>12</v>
      </c>
      <c r="E52" s="0" t="s">
        <v>21</v>
      </c>
      <c r="F52" s="1" t="n">
        <v>220</v>
      </c>
      <c r="G52" s="1" t="n">
        <v>200</v>
      </c>
      <c r="H52" s="1" t="n">
        <v>210</v>
      </c>
      <c r="I52" s="1" t="n">
        <v>14.142135623731</v>
      </c>
    </row>
    <row r="53" customFormat="false" ht="12.8" hidden="false" customHeight="false" outlineLevel="0" collapsed="false">
      <c r="A53" s="0" t="s">
        <v>9</v>
      </c>
      <c r="B53" s="0" t="s">
        <v>19</v>
      </c>
      <c r="C53" s="0" t="s">
        <v>15</v>
      </c>
      <c r="D53" s="0" t="s">
        <v>16</v>
      </c>
      <c r="E53" s="0" t="s">
        <v>21</v>
      </c>
      <c r="F53" s="1" t="n">
        <v>1000000</v>
      </c>
      <c r="G53" s="1" t="n">
        <v>1566666.66666667</v>
      </c>
      <c r="H53" s="1" t="n">
        <v>1283333.33333333</v>
      </c>
      <c r="I53" s="1" t="n">
        <v>400693.842672376</v>
      </c>
    </row>
    <row r="54" customFormat="false" ht="12.8" hidden="false" customHeight="false" outlineLevel="0" collapsed="false">
      <c r="A54" s="0" t="s">
        <v>9</v>
      </c>
      <c r="B54" s="0" t="s">
        <v>19</v>
      </c>
      <c r="C54" s="0" t="s">
        <v>17</v>
      </c>
      <c r="D54" s="0" t="s">
        <v>12</v>
      </c>
      <c r="E54" s="0" t="s">
        <v>21</v>
      </c>
      <c r="F54" s="1" t="n">
        <v>20</v>
      </c>
      <c r="G54" s="1" t="n">
        <v>20</v>
      </c>
      <c r="H54" s="1" t="n">
        <v>20</v>
      </c>
      <c r="I54" s="1" t="n">
        <v>0</v>
      </c>
    </row>
    <row r="55" customFormat="false" ht="12.8" hidden="false" customHeight="false" outlineLevel="0" collapsed="false">
      <c r="A55" s="0" t="s">
        <v>9</v>
      </c>
      <c r="B55" s="0" t="s">
        <v>20</v>
      </c>
      <c r="C55" s="0" t="s">
        <v>14</v>
      </c>
      <c r="D55" s="0" t="s">
        <v>12</v>
      </c>
      <c r="E55" s="0" t="s">
        <v>21</v>
      </c>
      <c r="F55" s="1" t="n">
        <v>1000000</v>
      </c>
      <c r="G55" s="1" t="n">
        <v>2066666.66666667</v>
      </c>
      <c r="H55" s="1" t="n">
        <v>1533333.33333333</v>
      </c>
      <c r="I55" s="1" t="n">
        <v>754247.233265651</v>
      </c>
    </row>
    <row r="56" customFormat="false" ht="12.8" hidden="false" customHeight="false" outlineLevel="0" collapsed="false">
      <c r="A56" s="0" t="s">
        <v>9</v>
      </c>
      <c r="B56" s="0" t="s">
        <v>20</v>
      </c>
      <c r="C56" s="0" t="s">
        <v>14</v>
      </c>
      <c r="D56" s="0" t="s">
        <v>12</v>
      </c>
      <c r="E56" s="0" t="s">
        <v>21</v>
      </c>
      <c r="F56" s="1" t="n">
        <v>5000000</v>
      </c>
      <c r="G56" s="1" t="n">
        <v>3333333.33333333</v>
      </c>
      <c r="H56" s="1" t="n">
        <v>4166666.66666667</v>
      </c>
      <c r="I56" s="1" t="n">
        <v>1178511.30197758</v>
      </c>
    </row>
    <row r="57" customFormat="false" ht="15" hidden="false" customHeight="true" outlineLevel="0" collapsed="false">
      <c r="A57" s="0" t="s">
        <v>9</v>
      </c>
      <c r="B57" s="0" t="s">
        <v>20</v>
      </c>
      <c r="C57" s="0" t="s">
        <v>14</v>
      </c>
      <c r="D57" s="0" t="s">
        <v>12</v>
      </c>
      <c r="E57" s="0" t="s">
        <v>21</v>
      </c>
      <c r="F57" s="1" t="n">
        <v>9500000</v>
      </c>
      <c r="G57" s="1" t="n">
        <v>10000000</v>
      </c>
      <c r="H57" s="1" t="n">
        <v>9750000</v>
      </c>
      <c r="I57" s="1" t="n">
        <v>353553.390593274</v>
      </c>
    </row>
    <row r="58" customFormat="false" ht="12.8" hidden="false" customHeight="false" outlineLevel="0" collapsed="false">
      <c r="A58" s="0" t="s">
        <v>9</v>
      </c>
      <c r="B58" s="0" t="s">
        <v>20</v>
      </c>
      <c r="C58" s="0" t="s">
        <v>15</v>
      </c>
      <c r="D58" s="0" t="s">
        <v>16</v>
      </c>
      <c r="E58" s="0" t="s">
        <v>21</v>
      </c>
      <c r="F58" s="1" t="n">
        <v>20</v>
      </c>
      <c r="G58" s="1" t="n">
        <v>26.6666666666667</v>
      </c>
      <c r="H58" s="1" t="n">
        <v>23.3333333333333</v>
      </c>
      <c r="I58" s="1" t="n">
        <v>4.71404520791031</v>
      </c>
    </row>
    <row r="59" customFormat="false" ht="12.8" hidden="false" customHeight="false" outlineLevel="0" collapsed="false">
      <c r="A59" s="0" t="s">
        <v>9</v>
      </c>
      <c r="B59" s="0" t="s">
        <v>20</v>
      </c>
      <c r="C59" s="0" t="s">
        <v>17</v>
      </c>
      <c r="D59" s="0" t="s">
        <v>12</v>
      </c>
      <c r="E59" s="0" t="s">
        <v>21</v>
      </c>
      <c r="F59" s="1" t="n">
        <v>0</v>
      </c>
      <c r="G59" s="1" t="n">
        <v>0</v>
      </c>
      <c r="H59" s="1" t="n">
        <v>0</v>
      </c>
      <c r="I59" s="1" t="n">
        <v>0</v>
      </c>
    </row>
    <row r="60" customFormat="false" ht="12.8" hidden="false" customHeight="false" outlineLevel="0" collapsed="false">
      <c r="A60" s="0" t="s">
        <v>22</v>
      </c>
      <c r="B60" s="0" t="s">
        <v>10</v>
      </c>
      <c r="C60" s="0" t="s">
        <v>11</v>
      </c>
      <c r="D60" s="0" t="s">
        <v>12</v>
      </c>
      <c r="E60" s="0" t="s">
        <v>13</v>
      </c>
      <c r="F60" s="1" t="n">
        <v>900000</v>
      </c>
      <c r="G60" s="1" t="n">
        <v>2233333.33333333</v>
      </c>
      <c r="H60" s="1" t="n">
        <f aca="false">AVERAGE(F60:G60)</f>
        <v>1566666.66666667</v>
      </c>
      <c r="I60" s="1" t="n">
        <f aca="false">_xlfn.STDEV.S(F60:G60)</f>
        <v>942809.041582063</v>
      </c>
    </row>
    <row r="61" customFormat="false" ht="12.8" hidden="false" customHeight="false" outlineLevel="0" collapsed="false">
      <c r="A61" s="0" t="s">
        <v>22</v>
      </c>
      <c r="B61" s="0" t="s">
        <v>10</v>
      </c>
      <c r="C61" s="0" t="s">
        <v>11</v>
      </c>
      <c r="D61" s="0" t="s">
        <v>12</v>
      </c>
      <c r="E61" s="0" t="s">
        <v>13</v>
      </c>
      <c r="F61" s="1" t="n">
        <v>13000000</v>
      </c>
      <c r="G61" s="1" t="n">
        <v>9666666.66666667</v>
      </c>
      <c r="H61" s="1" t="n">
        <f aca="false">AVERAGE(F61:G61)</f>
        <v>11333333.3333333</v>
      </c>
      <c r="I61" s="1" t="n">
        <f aca="false">_xlfn.STDEV.S(F61:G61)</f>
        <v>2357022.60395516</v>
      </c>
    </row>
    <row r="62" customFormat="false" ht="12.8" hidden="false" customHeight="false" outlineLevel="0" collapsed="false">
      <c r="A62" s="0" t="s">
        <v>22</v>
      </c>
      <c r="B62" s="0" t="s">
        <v>10</v>
      </c>
      <c r="C62" s="0" t="s">
        <v>11</v>
      </c>
      <c r="D62" s="0" t="s">
        <v>12</v>
      </c>
      <c r="E62" s="0" t="s">
        <v>13</v>
      </c>
      <c r="F62" s="1" t="n">
        <v>8000000</v>
      </c>
      <c r="G62" s="1" t="n">
        <v>11333333.3333333</v>
      </c>
      <c r="H62" s="1" t="n">
        <f aca="false">AVERAGE(F62:G62)</f>
        <v>9666666.66666667</v>
      </c>
      <c r="I62" s="1" t="n">
        <f aca="false">_xlfn.STDEV.S(F62:G62)</f>
        <v>2357022.60395516</v>
      </c>
    </row>
    <row r="63" customFormat="false" ht="12.8" hidden="false" customHeight="false" outlineLevel="0" collapsed="false">
      <c r="A63" s="0" t="s">
        <v>22</v>
      </c>
      <c r="B63" s="0" t="s">
        <v>10</v>
      </c>
      <c r="C63" s="0" t="s">
        <v>14</v>
      </c>
      <c r="D63" s="0" t="s">
        <v>12</v>
      </c>
      <c r="E63" s="0" t="s">
        <v>13</v>
      </c>
      <c r="F63" s="1" t="n">
        <v>13333333.3333333</v>
      </c>
      <c r="G63" s="1" t="n">
        <v>1566666.66666667</v>
      </c>
      <c r="H63" s="1" t="n">
        <f aca="false">AVERAGE(F63:G63)</f>
        <v>7450000</v>
      </c>
      <c r="I63" s="1" t="n">
        <f aca="false">_xlfn.STDEV.S(F63:G63)</f>
        <v>8320289.79196171</v>
      </c>
    </row>
    <row r="64" customFormat="false" ht="12.8" hidden="false" customHeight="false" outlineLevel="0" collapsed="false">
      <c r="A64" s="0" t="s">
        <v>22</v>
      </c>
      <c r="B64" s="0" t="s">
        <v>10</v>
      </c>
      <c r="C64" s="0" t="s">
        <v>14</v>
      </c>
      <c r="D64" s="0" t="s">
        <v>12</v>
      </c>
      <c r="E64" s="0" t="s">
        <v>13</v>
      </c>
      <c r="F64" s="1" t="n">
        <v>18333333.3333333</v>
      </c>
      <c r="G64" s="1" t="n">
        <v>16666666.6666667</v>
      </c>
      <c r="H64" s="1" t="n">
        <f aca="false">AVERAGE(F64:G64)</f>
        <v>17500000</v>
      </c>
      <c r="I64" s="1" t="n">
        <f aca="false">_xlfn.STDEV.S(F64:G64)</f>
        <v>1178511.30197758</v>
      </c>
    </row>
    <row r="65" customFormat="false" ht="12.8" hidden="false" customHeight="false" outlineLevel="0" collapsed="false">
      <c r="A65" s="0" t="s">
        <v>22</v>
      </c>
      <c r="B65" s="0" t="s">
        <v>10</v>
      </c>
      <c r="C65" s="0" t="s">
        <v>14</v>
      </c>
      <c r="D65" s="0" t="s">
        <v>12</v>
      </c>
      <c r="E65" s="0" t="s">
        <v>13</v>
      </c>
      <c r="F65" s="1" t="n">
        <v>22666666.6666667</v>
      </c>
      <c r="G65" s="1" t="n">
        <v>18666666.6666667</v>
      </c>
      <c r="H65" s="1" t="n">
        <f aca="false">AVERAGE(F65:G65)</f>
        <v>20666666.6666667</v>
      </c>
      <c r="I65" s="1" t="n">
        <f aca="false">_xlfn.STDEV.S(F65:G65)</f>
        <v>2828427.12474619</v>
      </c>
    </row>
    <row r="66" customFormat="false" ht="12.8" hidden="false" customHeight="false" outlineLevel="0" collapsed="false">
      <c r="A66" s="0" t="s">
        <v>22</v>
      </c>
      <c r="B66" s="0" t="s">
        <v>10</v>
      </c>
      <c r="C66" s="0" t="s">
        <v>15</v>
      </c>
      <c r="D66" s="0" t="s">
        <v>16</v>
      </c>
      <c r="E66" s="0" t="s">
        <v>13</v>
      </c>
      <c r="F66" s="1" t="n">
        <v>0</v>
      </c>
      <c r="G66" s="1" t="n">
        <v>0</v>
      </c>
      <c r="H66" s="1" t="n">
        <f aca="false">AVERAGE(F66:G66)</f>
        <v>0</v>
      </c>
      <c r="I66" s="1" t="n">
        <f aca="false">_xlfn.STDEV.S(F66:G66)</f>
        <v>0</v>
      </c>
    </row>
    <row r="67" customFormat="false" ht="12.8" hidden="false" customHeight="false" outlineLevel="0" collapsed="false">
      <c r="A67" s="0" t="s">
        <v>22</v>
      </c>
      <c r="B67" s="0" t="s">
        <v>10</v>
      </c>
      <c r="C67" s="0" t="s">
        <v>17</v>
      </c>
      <c r="D67" s="0" t="s">
        <v>12</v>
      </c>
      <c r="E67" s="0" t="s">
        <v>13</v>
      </c>
      <c r="F67" s="1" t="n">
        <v>18333333.3333333</v>
      </c>
      <c r="G67" s="1" t="n">
        <v>1800000</v>
      </c>
      <c r="H67" s="1" t="n">
        <f aca="false">AVERAGE(F67:G67)</f>
        <v>10066666.6666667</v>
      </c>
      <c r="I67" s="1" t="n">
        <f aca="false">_xlfn.STDEV.S(F67:G67)</f>
        <v>11690832.1156176</v>
      </c>
    </row>
    <row r="68" customFormat="false" ht="12.8" hidden="false" customHeight="false" outlineLevel="0" collapsed="false">
      <c r="A68" s="0" t="s">
        <v>22</v>
      </c>
      <c r="B68" s="0" t="s">
        <v>18</v>
      </c>
      <c r="C68" s="0" t="s">
        <v>11</v>
      </c>
      <c r="D68" s="0" t="s">
        <v>12</v>
      </c>
      <c r="E68" s="0" t="s">
        <v>13</v>
      </c>
      <c r="F68" s="1" t="n">
        <v>1155405.40540541</v>
      </c>
      <c r="G68" s="1" t="n">
        <v>1135135.13513514</v>
      </c>
      <c r="H68" s="1" t="n">
        <f aca="false">AVERAGE(F68:G68)</f>
        <v>1145270.27027027</v>
      </c>
      <c r="I68" s="1" t="n">
        <f aca="false">_xlfn.STDEV.S(F68:G68)</f>
        <v>14333.2455645922</v>
      </c>
    </row>
    <row r="69" customFormat="false" ht="12.8" hidden="false" customHeight="false" outlineLevel="0" collapsed="false">
      <c r="A69" s="0" t="s">
        <v>22</v>
      </c>
      <c r="B69" s="0" t="s">
        <v>18</v>
      </c>
      <c r="C69" s="0" t="s">
        <v>11</v>
      </c>
      <c r="D69" s="0" t="s">
        <v>12</v>
      </c>
      <c r="E69" s="0" t="s">
        <v>13</v>
      </c>
      <c r="F69" s="1" t="n">
        <v>763157.894736842</v>
      </c>
      <c r="G69" s="1" t="n">
        <v>1157894.73684211</v>
      </c>
      <c r="H69" s="1" t="n">
        <f aca="false">AVERAGE(F69:G69)</f>
        <v>960526.315789474</v>
      </c>
      <c r="I69" s="1" t="n">
        <f aca="false">_xlfn.STDEV.S(F69:G69)</f>
        <v>279121.097836795</v>
      </c>
    </row>
    <row r="70" customFormat="false" ht="12.8" hidden="false" customHeight="false" outlineLevel="0" collapsed="false">
      <c r="A70" s="0" t="s">
        <v>22</v>
      </c>
      <c r="B70" s="0" t="s">
        <v>18</v>
      </c>
      <c r="C70" s="0" t="s">
        <v>11</v>
      </c>
      <c r="D70" s="0" t="s">
        <v>12</v>
      </c>
      <c r="E70" s="0" t="s">
        <v>13</v>
      </c>
      <c r="F70" s="1" t="n">
        <v>795180.722891566</v>
      </c>
      <c r="G70" s="1" t="n">
        <v>993975.903614458</v>
      </c>
      <c r="H70" s="1" t="n">
        <f aca="false">AVERAGE(F70:G70)</f>
        <v>894578.313253012</v>
      </c>
      <c r="I70" s="1" t="n">
        <f aca="false">_xlfn.STDEV.S(F70:G70)</f>
        <v>140569.420356362</v>
      </c>
    </row>
    <row r="71" customFormat="false" ht="12.8" hidden="false" customHeight="false" outlineLevel="0" collapsed="false">
      <c r="A71" s="0" t="s">
        <v>22</v>
      </c>
      <c r="B71" s="0" t="s">
        <v>18</v>
      </c>
      <c r="C71" s="0" t="s">
        <v>14</v>
      </c>
      <c r="D71" s="0" t="s">
        <v>12</v>
      </c>
      <c r="E71" s="0" t="s">
        <v>13</v>
      </c>
      <c r="F71" s="1" t="n">
        <v>991935.483870968</v>
      </c>
      <c r="G71" s="1" t="n">
        <v>1016129.03225806</v>
      </c>
      <c r="H71" s="1" t="n">
        <f aca="false">AVERAGE(F71:G71)</f>
        <v>1004032.25806452</v>
      </c>
      <c r="I71" s="1" t="n">
        <f aca="false">_xlfn.STDEV.S(F71:G71)</f>
        <v>17107.422125481</v>
      </c>
    </row>
    <row r="72" customFormat="false" ht="12.8" hidden="false" customHeight="false" outlineLevel="0" collapsed="false">
      <c r="A72" s="0" t="s">
        <v>22</v>
      </c>
      <c r="B72" s="0" t="s">
        <v>18</v>
      </c>
      <c r="C72" s="0" t="s">
        <v>14</v>
      </c>
      <c r="D72" s="0" t="s">
        <v>12</v>
      </c>
      <c r="E72" s="0" t="s">
        <v>13</v>
      </c>
      <c r="F72" s="1" t="n">
        <v>1006711.40939597</v>
      </c>
      <c r="G72" s="1" t="n">
        <v>624161.073825503</v>
      </c>
      <c r="H72" s="1" t="n">
        <f aca="false">AVERAGE(F72:G72)</f>
        <v>815436.241610738</v>
      </c>
      <c r="I72" s="1" t="n">
        <f aca="false">_xlfn.STDEV.S(F72:G72)</f>
        <v>270503.936427069</v>
      </c>
    </row>
    <row r="73" customFormat="false" ht="12.8" hidden="false" customHeight="false" outlineLevel="0" collapsed="false">
      <c r="A73" s="0" t="s">
        <v>22</v>
      </c>
      <c r="B73" s="0" t="s">
        <v>18</v>
      </c>
      <c r="C73" s="0" t="s">
        <v>14</v>
      </c>
      <c r="D73" s="0" t="s">
        <v>12</v>
      </c>
      <c r="E73" s="0" t="s">
        <v>13</v>
      </c>
      <c r="F73" s="1" t="n">
        <v>340909.090909091</v>
      </c>
      <c r="G73" s="1" t="n">
        <v>1363636.36363636</v>
      </c>
      <c r="H73" s="1" t="n">
        <f aca="false">AVERAGE(F73:G73)</f>
        <v>852272.727272727</v>
      </c>
      <c r="I73" s="1" t="n">
        <f aca="false">_xlfn.STDEV.S(F73:G73)</f>
        <v>723177.389849878</v>
      </c>
    </row>
    <row r="74" customFormat="false" ht="12.8" hidden="false" customHeight="false" outlineLevel="0" collapsed="false">
      <c r="A74" s="0" t="s">
        <v>22</v>
      </c>
      <c r="B74" s="0" t="s">
        <v>18</v>
      </c>
      <c r="C74" s="0" t="s">
        <v>15</v>
      </c>
      <c r="D74" s="0" t="s">
        <v>16</v>
      </c>
      <c r="E74" s="0" t="s">
        <v>13</v>
      </c>
      <c r="F74" s="1" t="n">
        <v>0</v>
      </c>
      <c r="G74" s="1" t="n">
        <v>0</v>
      </c>
      <c r="H74" s="1" t="n">
        <f aca="false">AVERAGE(F74:G74)</f>
        <v>0</v>
      </c>
      <c r="I74" s="1" t="n">
        <f aca="false">_xlfn.STDEV.S(F74:G74)</f>
        <v>0</v>
      </c>
    </row>
    <row r="75" customFormat="false" ht="12.8" hidden="false" customHeight="false" outlineLevel="0" collapsed="false">
      <c r="A75" s="0" t="s">
        <v>22</v>
      </c>
      <c r="B75" s="0" t="s">
        <v>18</v>
      </c>
      <c r="C75" s="0" t="s">
        <v>17</v>
      </c>
      <c r="D75" s="0" t="s">
        <v>12</v>
      </c>
      <c r="E75" s="0" t="s">
        <v>13</v>
      </c>
      <c r="F75" s="1" t="n">
        <v>10204081.6326531</v>
      </c>
      <c r="G75" s="1" t="n">
        <v>9795918.36734694</v>
      </c>
      <c r="H75" s="1" t="n">
        <f aca="false">AVERAGE(F75:G75)</f>
        <v>10000000</v>
      </c>
      <c r="I75" s="1" t="n">
        <f aca="false">_xlfn.STDEV.S(F75:G75)</f>
        <v>288615.012729203</v>
      </c>
    </row>
    <row r="76" customFormat="false" ht="12.8" hidden="false" customHeight="false" outlineLevel="0" collapsed="false">
      <c r="A76" s="0" t="s">
        <v>22</v>
      </c>
      <c r="B76" s="0" t="s">
        <v>19</v>
      </c>
      <c r="C76" s="0" t="s">
        <v>11</v>
      </c>
      <c r="D76" s="0" t="s">
        <v>12</v>
      </c>
      <c r="E76" s="0" t="s">
        <v>13</v>
      </c>
      <c r="F76" s="1" t="n">
        <v>500</v>
      </c>
      <c r="G76" s="1" t="n">
        <v>1500</v>
      </c>
      <c r="H76" s="1" t="n">
        <f aca="false">AVERAGE(F76:G76)</f>
        <v>1000</v>
      </c>
      <c r="I76" s="1" t="n">
        <f aca="false">_xlfn.STDEV.S(F76:G76)</f>
        <v>707.106781186548</v>
      </c>
    </row>
    <row r="77" customFormat="false" ht="12.8" hidden="false" customHeight="false" outlineLevel="0" collapsed="false">
      <c r="A77" s="0" t="s">
        <v>22</v>
      </c>
      <c r="B77" s="0" t="s">
        <v>19</v>
      </c>
      <c r="C77" s="0" t="s">
        <v>11</v>
      </c>
      <c r="D77" s="0" t="s">
        <v>12</v>
      </c>
      <c r="E77" s="0" t="s">
        <v>13</v>
      </c>
      <c r="F77" s="1" t="n">
        <v>400</v>
      </c>
      <c r="G77" s="1" t="n">
        <v>400</v>
      </c>
      <c r="H77" s="1" t="n">
        <f aca="false">AVERAGE(F77:G77)</f>
        <v>400</v>
      </c>
      <c r="I77" s="1" t="n">
        <f aca="false">_xlfn.STDEV.S(F77:G77)</f>
        <v>0</v>
      </c>
    </row>
    <row r="78" customFormat="false" ht="12.8" hidden="false" customHeight="false" outlineLevel="0" collapsed="false">
      <c r="A78" s="0" t="s">
        <v>22</v>
      </c>
      <c r="B78" s="0" t="s">
        <v>19</v>
      </c>
      <c r="C78" s="0" t="s">
        <v>11</v>
      </c>
      <c r="D78" s="0" t="s">
        <v>12</v>
      </c>
      <c r="E78" s="0" t="s">
        <v>13</v>
      </c>
      <c r="F78" s="1" t="n">
        <v>200</v>
      </c>
      <c r="G78" s="1" t="n">
        <v>200</v>
      </c>
      <c r="H78" s="1" t="n">
        <f aca="false">AVERAGE(F78:G78)</f>
        <v>200</v>
      </c>
      <c r="I78" s="1" t="n">
        <f aca="false">_xlfn.STDEV.S(F78:G78)</f>
        <v>0</v>
      </c>
    </row>
    <row r="79" customFormat="false" ht="12.8" hidden="false" customHeight="false" outlineLevel="0" collapsed="false">
      <c r="A79" s="0" t="s">
        <v>22</v>
      </c>
      <c r="B79" s="0" t="s">
        <v>19</v>
      </c>
      <c r="C79" s="0" t="s">
        <v>14</v>
      </c>
      <c r="D79" s="0" t="s">
        <v>12</v>
      </c>
      <c r="E79" s="0" t="s">
        <v>13</v>
      </c>
      <c r="F79" s="1" t="n">
        <v>200</v>
      </c>
      <c r="G79" s="1" t="n">
        <v>200</v>
      </c>
      <c r="H79" s="1" t="n">
        <f aca="false">AVERAGE(F79:G79)</f>
        <v>200</v>
      </c>
      <c r="I79" s="1" t="n">
        <f aca="false">_xlfn.STDEV.S(F79:G79)</f>
        <v>0</v>
      </c>
    </row>
    <row r="80" customFormat="false" ht="12.8" hidden="false" customHeight="false" outlineLevel="0" collapsed="false">
      <c r="A80" s="0" t="s">
        <v>22</v>
      </c>
      <c r="B80" s="0" t="s">
        <v>19</v>
      </c>
      <c r="C80" s="0" t="s">
        <v>14</v>
      </c>
      <c r="D80" s="0" t="s">
        <v>12</v>
      </c>
      <c r="E80" s="0" t="s">
        <v>13</v>
      </c>
      <c r="F80" s="1" t="n">
        <v>100</v>
      </c>
      <c r="G80" s="1" t="n">
        <v>100</v>
      </c>
      <c r="H80" s="1" t="n">
        <f aca="false">AVERAGE(F80:G80)</f>
        <v>100</v>
      </c>
      <c r="I80" s="1" t="n">
        <f aca="false">_xlfn.STDEV.S(F80:G80)</f>
        <v>0</v>
      </c>
    </row>
    <row r="81" customFormat="false" ht="12.8" hidden="false" customHeight="false" outlineLevel="0" collapsed="false">
      <c r="A81" s="0" t="s">
        <v>22</v>
      </c>
      <c r="B81" s="0" t="s">
        <v>19</v>
      </c>
      <c r="C81" s="0" t="s">
        <v>14</v>
      </c>
      <c r="D81" s="0" t="s">
        <v>12</v>
      </c>
      <c r="E81" s="0" t="s">
        <v>13</v>
      </c>
      <c r="F81" s="1" t="n">
        <v>200</v>
      </c>
      <c r="G81" s="1" t="n">
        <v>0</v>
      </c>
      <c r="H81" s="1" t="n">
        <f aca="false">AVERAGE(F81:G81)</f>
        <v>100</v>
      </c>
      <c r="I81" s="1" t="n">
        <f aca="false">_xlfn.STDEV.S(F81:G81)</f>
        <v>141.42135623731</v>
      </c>
    </row>
    <row r="82" customFormat="false" ht="12.8" hidden="false" customHeight="false" outlineLevel="0" collapsed="false">
      <c r="A82" s="0" t="s">
        <v>22</v>
      </c>
      <c r="B82" s="0" t="s">
        <v>19</v>
      </c>
      <c r="C82" s="0" t="s">
        <v>15</v>
      </c>
      <c r="D82" s="0" t="s">
        <v>16</v>
      </c>
      <c r="E82" s="0" t="s">
        <v>13</v>
      </c>
      <c r="F82" s="1" t="n">
        <v>100</v>
      </c>
      <c r="G82" s="1" t="n">
        <v>0</v>
      </c>
      <c r="H82" s="1" t="n">
        <f aca="false">AVERAGE(F82:G82)</f>
        <v>50</v>
      </c>
      <c r="I82" s="1" t="n">
        <f aca="false">_xlfn.STDEV.S(F82:G82)</f>
        <v>70.7106781186548</v>
      </c>
    </row>
    <row r="83" customFormat="false" ht="12.8" hidden="false" customHeight="false" outlineLevel="0" collapsed="false">
      <c r="A83" s="0" t="s">
        <v>22</v>
      </c>
      <c r="B83" s="0" t="s">
        <v>19</v>
      </c>
      <c r="C83" s="0" t="s">
        <v>17</v>
      </c>
      <c r="D83" s="0" t="s">
        <v>12</v>
      </c>
      <c r="E83" s="0" t="s">
        <v>13</v>
      </c>
      <c r="F83" s="1" t="n">
        <v>22000000</v>
      </c>
      <c r="G83" s="1" t="n">
        <v>24000000</v>
      </c>
      <c r="H83" s="1" t="n">
        <f aca="false">AVERAGE(F83:G83)</f>
        <v>23000000</v>
      </c>
      <c r="I83" s="1" t="n">
        <f aca="false">_xlfn.STDEV.S(F83:G83)</f>
        <v>1414213.5623731</v>
      </c>
    </row>
    <row r="84" customFormat="false" ht="12.8" hidden="false" customHeight="false" outlineLevel="0" collapsed="false">
      <c r="A84" s="0" t="s">
        <v>22</v>
      </c>
      <c r="B84" s="0" t="s">
        <v>20</v>
      </c>
      <c r="C84" s="0" t="s">
        <v>14</v>
      </c>
      <c r="D84" s="0" t="s">
        <v>12</v>
      </c>
      <c r="E84" s="0" t="s">
        <v>13</v>
      </c>
      <c r="F84" s="1" t="n">
        <v>3500000</v>
      </c>
      <c r="G84" s="1" t="n">
        <v>6400000</v>
      </c>
      <c r="H84" s="1" t="n">
        <f aca="false">AVERAGE(F84:G84)</f>
        <v>4950000</v>
      </c>
      <c r="I84" s="1" t="n">
        <f aca="false">_xlfn.STDEV.S(F84:G84)</f>
        <v>2050609.66544099</v>
      </c>
    </row>
    <row r="85" customFormat="false" ht="12.8" hidden="false" customHeight="false" outlineLevel="0" collapsed="false">
      <c r="A85" s="0" t="s">
        <v>22</v>
      </c>
      <c r="B85" s="0" t="s">
        <v>20</v>
      </c>
      <c r="C85" s="0" t="s">
        <v>14</v>
      </c>
      <c r="D85" s="0" t="s">
        <v>12</v>
      </c>
      <c r="E85" s="0" t="s">
        <v>13</v>
      </c>
      <c r="F85" s="1" t="n">
        <v>48000000</v>
      </c>
      <c r="G85" s="1" t="n">
        <v>72000000</v>
      </c>
      <c r="H85" s="1" t="n">
        <f aca="false">AVERAGE(F85:G85)</f>
        <v>60000000</v>
      </c>
      <c r="I85" s="1" t="n">
        <f aca="false">_xlfn.STDEV.S(F85:G85)</f>
        <v>16970562.7484771</v>
      </c>
    </row>
    <row r="86" customFormat="false" ht="12.8" hidden="false" customHeight="false" outlineLevel="0" collapsed="false">
      <c r="A86" s="0" t="s">
        <v>22</v>
      </c>
      <c r="B86" s="0" t="s">
        <v>20</v>
      </c>
      <c r="C86" s="0" t="s">
        <v>14</v>
      </c>
      <c r="D86" s="0" t="s">
        <v>12</v>
      </c>
      <c r="E86" s="0" t="s">
        <v>13</v>
      </c>
      <c r="F86" s="1" t="n">
        <v>56000000</v>
      </c>
      <c r="G86" s="1" t="n">
        <v>46000000</v>
      </c>
      <c r="H86" s="1" t="n">
        <f aca="false">AVERAGE(F86:G86)</f>
        <v>51000000</v>
      </c>
      <c r="I86" s="1" t="n">
        <f aca="false">_xlfn.STDEV.S(F86:G86)</f>
        <v>7071067.81186547</v>
      </c>
    </row>
    <row r="87" customFormat="false" ht="12.8" hidden="false" customHeight="false" outlineLevel="0" collapsed="false">
      <c r="A87" s="0" t="s">
        <v>22</v>
      </c>
      <c r="B87" s="0" t="s">
        <v>20</v>
      </c>
      <c r="C87" s="0" t="s">
        <v>15</v>
      </c>
      <c r="D87" s="0" t="s">
        <v>16</v>
      </c>
      <c r="E87" s="0" t="s">
        <v>13</v>
      </c>
      <c r="F87" s="1" t="n">
        <v>0</v>
      </c>
      <c r="G87" s="1" t="n">
        <v>0</v>
      </c>
      <c r="H87" s="1" t="n">
        <f aca="false">AVERAGE(F87:G87)</f>
        <v>0</v>
      </c>
      <c r="I87" s="1" t="n">
        <f aca="false">_xlfn.STDEV.S(F87:G87)</f>
        <v>0</v>
      </c>
    </row>
    <row r="88" customFormat="false" ht="12.8" hidden="false" customHeight="false" outlineLevel="0" collapsed="false">
      <c r="A88" s="0" t="s">
        <v>22</v>
      </c>
      <c r="B88" s="0" t="s">
        <v>20</v>
      </c>
      <c r="C88" s="0" t="s">
        <v>17</v>
      </c>
      <c r="D88" s="0" t="s">
        <v>12</v>
      </c>
      <c r="E88" s="0" t="s">
        <v>13</v>
      </c>
      <c r="F88" s="1" t="n">
        <v>7816091.95402299</v>
      </c>
      <c r="G88" s="1" t="n">
        <v>12183908.045977</v>
      </c>
      <c r="H88" s="1" t="n">
        <f aca="false">AVERAGE(F88:G88)</f>
        <v>10000000</v>
      </c>
      <c r="I88" s="1" t="n">
        <f aca="false">_xlfn.STDEV.S(F88:G88)</f>
        <v>3088512.37759641</v>
      </c>
    </row>
    <row r="89" customFormat="false" ht="12.8" hidden="false" customHeight="false" outlineLevel="0" collapsed="false">
      <c r="A89" s="0" t="s">
        <v>22</v>
      </c>
      <c r="B89" s="0" t="s">
        <v>10</v>
      </c>
      <c r="C89" s="0" t="s">
        <v>11</v>
      </c>
      <c r="D89" s="0" t="s">
        <v>12</v>
      </c>
      <c r="E89" s="0" t="s">
        <v>21</v>
      </c>
      <c r="F89" s="1" t="n">
        <v>50</v>
      </c>
      <c r="G89" s="1" t="n">
        <v>50</v>
      </c>
      <c r="H89" s="1" t="n">
        <f aca="false">AVERAGE(F89:G89)</f>
        <v>50</v>
      </c>
      <c r="I89" s="1" t="n">
        <f aca="false">_xlfn.STDEV.S(F89:G89)</f>
        <v>0</v>
      </c>
    </row>
    <row r="90" customFormat="false" ht="12.8" hidden="false" customHeight="false" outlineLevel="0" collapsed="false">
      <c r="A90" s="0" t="s">
        <v>22</v>
      </c>
      <c r="B90" s="0" t="s">
        <v>10</v>
      </c>
      <c r="C90" s="0" t="s">
        <v>11</v>
      </c>
      <c r="D90" s="0" t="s">
        <v>12</v>
      </c>
      <c r="E90" s="0" t="s">
        <v>21</v>
      </c>
      <c r="F90" s="1" t="n">
        <v>90</v>
      </c>
      <c r="G90" s="1" t="n">
        <v>80</v>
      </c>
      <c r="H90" s="1" t="n">
        <f aca="false">AVERAGE(F90:G90)</f>
        <v>85</v>
      </c>
      <c r="I90" s="1" t="n">
        <f aca="false">_xlfn.STDEV.S(F90:G90)</f>
        <v>7.07106781186548</v>
      </c>
    </row>
    <row r="91" customFormat="false" ht="12.8" hidden="false" customHeight="false" outlineLevel="0" collapsed="false">
      <c r="A91" s="0" t="s">
        <v>22</v>
      </c>
      <c r="B91" s="0" t="s">
        <v>10</v>
      </c>
      <c r="C91" s="0" t="s">
        <v>11</v>
      </c>
      <c r="D91" s="0" t="s">
        <v>12</v>
      </c>
      <c r="E91" s="0" t="s">
        <v>21</v>
      </c>
      <c r="F91" s="1" t="n">
        <v>110</v>
      </c>
      <c r="G91" s="1" t="n">
        <v>110</v>
      </c>
      <c r="H91" s="1" t="n">
        <f aca="false">AVERAGE(F91:G91)</f>
        <v>110</v>
      </c>
      <c r="I91" s="1" t="n">
        <f aca="false">_xlfn.STDEV.S(F91:G91)</f>
        <v>0</v>
      </c>
    </row>
    <row r="92" customFormat="false" ht="12.8" hidden="false" customHeight="false" outlineLevel="0" collapsed="false">
      <c r="A92" s="0" t="s">
        <v>22</v>
      </c>
      <c r="B92" s="0" t="s">
        <v>10</v>
      </c>
      <c r="C92" s="0" t="s">
        <v>14</v>
      </c>
      <c r="D92" s="0" t="s">
        <v>12</v>
      </c>
      <c r="E92" s="0" t="s">
        <v>21</v>
      </c>
      <c r="F92" s="1" t="n">
        <v>10</v>
      </c>
      <c r="G92" s="1" t="n">
        <v>10</v>
      </c>
      <c r="H92" s="1" t="n">
        <f aca="false">AVERAGE(F92:G92)</f>
        <v>10</v>
      </c>
      <c r="I92" s="1" t="n">
        <f aca="false">_xlfn.STDEV.S(F92:G92)</f>
        <v>0</v>
      </c>
    </row>
    <row r="93" customFormat="false" ht="12.8" hidden="false" customHeight="false" outlineLevel="0" collapsed="false">
      <c r="A93" s="0" t="s">
        <v>22</v>
      </c>
      <c r="B93" s="0" t="s">
        <v>10</v>
      </c>
      <c r="C93" s="0" t="s">
        <v>14</v>
      </c>
      <c r="D93" s="0" t="s">
        <v>12</v>
      </c>
      <c r="E93" s="0" t="s">
        <v>21</v>
      </c>
      <c r="F93" s="1" t="n">
        <v>0</v>
      </c>
      <c r="G93" s="1" t="n">
        <v>20</v>
      </c>
      <c r="H93" s="1" t="n">
        <f aca="false">AVERAGE(F93:G93)</f>
        <v>10</v>
      </c>
      <c r="I93" s="1" t="n">
        <f aca="false">_xlfn.STDEV.S(F93:G93)</f>
        <v>14.142135623731</v>
      </c>
    </row>
    <row r="94" customFormat="false" ht="12.8" hidden="false" customHeight="false" outlineLevel="0" collapsed="false">
      <c r="A94" s="0" t="s">
        <v>22</v>
      </c>
      <c r="B94" s="0" t="s">
        <v>10</v>
      </c>
      <c r="C94" s="0" t="s">
        <v>14</v>
      </c>
      <c r="D94" s="0" t="s">
        <v>12</v>
      </c>
      <c r="E94" s="0" t="s">
        <v>21</v>
      </c>
      <c r="F94" s="1" t="n">
        <v>10</v>
      </c>
      <c r="G94" s="1" t="n">
        <v>40</v>
      </c>
      <c r="H94" s="1" t="n">
        <f aca="false">AVERAGE(F94:G94)</f>
        <v>25</v>
      </c>
      <c r="I94" s="1" t="n">
        <f aca="false">_xlfn.STDEV.S(F94:G94)</f>
        <v>21.2132034355964</v>
      </c>
    </row>
    <row r="95" customFormat="false" ht="12.8" hidden="false" customHeight="false" outlineLevel="0" collapsed="false">
      <c r="A95" s="0" t="s">
        <v>22</v>
      </c>
      <c r="B95" s="0" t="s">
        <v>10</v>
      </c>
      <c r="C95" s="0" t="s">
        <v>15</v>
      </c>
      <c r="D95" s="0" t="s">
        <v>16</v>
      </c>
      <c r="E95" s="0" t="s">
        <v>21</v>
      </c>
      <c r="F95" s="1" t="n">
        <v>0</v>
      </c>
      <c r="G95" s="1" t="n">
        <v>0</v>
      </c>
      <c r="H95" s="1" t="n">
        <f aca="false">AVERAGE(F95:G95)</f>
        <v>0</v>
      </c>
      <c r="I95" s="1" t="n">
        <f aca="false">_xlfn.STDEV.S(F95:G95)</f>
        <v>0</v>
      </c>
    </row>
    <row r="96" customFormat="false" ht="12.8" hidden="false" customHeight="false" outlineLevel="0" collapsed="false">
      <c r="A96" s="0" t="s">
        <v>22</v>
      </c>
      <c r="B96" s="0" t="s">
        <v>10</v>
      </c>
      <c r="C96" s="0" t="s">
        <v>17</v>
      </c>
      <c r="D96" s="0" t="s">
        <v>12</v>
      </c>
      <c r="E96" s="0" t="s">
        <v>21</v>
      </c>
      <c r="F96" s="1" t="n">
        <v>30</v>
      </c>
      <c r="G96" s="1" t="n">
        <v>20</v>
      </c>
      <c r="H96" s="1" t="n">
        <f aca="false">AVERAGE(F96:G96)</f>
        <v>25</v>
      </c>
      <c r="I96" s="1" t="n">
        <f aca="false">_xlfn.STDEV.S(F96:G96)</f>
        <v>7.07106781186548</v>
      </c>
    </row>
    <row r="97" customFormat="false" ht="12.8" hidden="false" customHeight="false" outlineLevel="0" collapsed="false">
      <c r="A97" s="0" t="s">
        <v>22</v>
      </c>
      <c r="B97" s="0" t="s">
        <v>18</v>
      </c>
      <c r="C97" s="0" t="s">
        <v>11</v>
      </c>
      <c r="D97" s="0" t="s">
        <v>12</v>
      </c>
      <c r="E97" s="0" t="s">
        <v>21</v>
      </c>
      <c r="F97" s="1" t="n">
        <v>0</v>
      </c>
      <c r="G97" s="1" t="n">
        <v>10</v>
      </c>
      <c r="H97" s="1" t="n">
        <f aca="false">AVERAGE(F97:G97)</f>
        <v>5</v>
      </c>
      <c r="I97" s="1" t="n">
        <f aca="false">_xlfn.STDEV.S(F97:G97)</f>
        <v>7.07106781186548</v>
      </c>
    </row>
    <row r="98" customFormat="false" ht="12.8" hidden="false" customHeight="false" outlineLevel="0" collapsed="false">
      <c r="A98" s="0" t="s">
        <v>22</v>
      </c>
      <c r="B98" s="0" t="s">
        <v>18</v>
      </c>
      <c r="C98" s="0" t="s">
        <v>11</v>
      </c>
      <c r="D98" s="0" t="s">
        <v>12</v>
      </c>
      <c r="E98" s="0" t="s">
        <v>21</v>
      </c>
      <c r="F98" s="1" t="n">
        <v>120</v>
      </c>
      <c r="G98" s="1" t="n">
        <v>130</v>
      </c>
      <c r="H98" s="1" t="n">
        <f aca="false">AVERAGE(F98:G98)</f>
        <v>125</v>
      </c>
      <c r="I98" s="1" t="n">
        <f aca="false">_xlfn.STDEV.S(F98:G98)</f>
        <v>7.07106781186548</v>
      </c>
    </row>
    <row r="99" customFormat="false" ht="12.8" hidden="false" customHeight="false" outlineLevel="0" collapsed="false">
      <c r="A99" s="0" t="s">
        <v>22</v>
      </c>
      <c r="B99" s="0" t="s">
        <v>18</v>
      </c>
      <c r="C99" s="0" t="s">
        <v>11</v>
      </c>
      <c r="D99" s="0" t="s">
        <v>12</v>
      </c>
      <c r="E99" s="0" t="s">
        <v>21</v>
      </c>
      <c r="F99" s="1" t="n">
        <v>40</v>
      </c>
      <c r="G99" s="1" t="n">
        <v>20</v>
      </c>
      <c r="H99" s="1" t="n">
        <f aca="false">AVERAGE(F99:G99)</f>
        <v>30</v>
      </c>
      <c r="I99" s="1" t="n">
        <f aca="false">_xlfn.STDEV.S(F99:G99)</f>
        <v>14.142135623731</v>
      </c>
    </row>
    <row r="100" customFormat="false" ht="12.8" hidden="false" customHeight="false" outlineLevel="0" collapsed="false">
      <c r="A100" s="0" t="s">
        <v>22</v>
      </c>
      <c r="B100" s="0" t="s">
        <v>18</v>
      </c>
      <c r="C100" s="0" t="s">
        <v>14</v>
      </c>
      <c r="D100" s="0" t="s">
        <v>12</v>
      </c>
      <c r="E100" s="0" t="s">
        <v>21</v>
      </c>
      <c r="F100" s="1" t="n">
        <v>0</v>
      </c>
      <c r="G100" s="1" t="n">
        <v>10</v>
      </c>
      <c r="H100" s="1" t="n">
        <f aca="false">AVERAGE(F100:G100)</f>
        <v>5</v>
      </c>
      <c r="I100" s="1" t="n">
        <f aca="false">_xlfn.STDEV.S(F100:G100)</f>
        <v>7.07106781186548</v>
      </c>
    </row>
    <row r="101" customFormat="false" ht="12.8" hidden="false" customHeight="false" outlineLevel="0" collapsed="false">
      <c r="A101" s="0" t="s">
        <v>22</v>
      </c>
      <c r="B101" s="0" t="s">
        <v>18</v>
      </c>
      <c r="C101" s="0" t="s">
        <v>14</v>
      </c>
      <c r="D101" s="0" t="s">
        <v>12</v>
      </c>
      <c r="E101" s="0" t="s">
        <v>21</v>
      </c>
      <c r="F101" s="1" t="n">
        <v>20</v>
      </c>
      <c r="G101" s="1" t="n">
        <v>10</v>
      </c>
      <c r="H101" s="1" t="n">
        <f aca="false">AVERAGE(F101:G101)</f>
        <v>15</v>
      </c>
      <c r="I101" s="1" t="n">
        <f aca="false">_xlfn.STDEV.S(F101:G101)</f>
        <v>7.07106781186548</v>
      </c>
    </row>
    <row r="102" customFormat="false" ht="12.8" hidden="false" customHeight="false" outlineLevel="0" collapsed="false">
      <c r="A102" s="0" t="s">
        <v>22</v>
      </c>
      <c r="B102" s="0" t="s">
        <v>18</v>
      </c>
      <c r="C102" s="0" t="s">
        <v>14</v>
      </c>
      <c r="D102" s="0" t="s">
        <v>12</v>
      </c>
      <c r="E102" s="0" t="s">
        <v>21</v>
      </c>
      <c r="F102" s="1" t="n">
        <v>0</v>
      </c>
      <c r="G102" s="1" t="n">
        <v>30</v>
      </c>
      <c r="H102" s="1" t="n">
        <f aca="false">AVERAGE(F102:G102)</f>
        <v>15</v>
      </c>
      <c r="I102" s="1" t="n">
        <f aca="false">_xlfn.STDEV.S(F102:G102)</f>
        <v>21.2132034355964</v>
      </c>
    </row>
    <row r="103" customFormat="false" ht="12.8" hidden="false" customHeight="false" outlineLevel="0" collapsed="false">
      <c r="A103" s="0" t="s">
        <v>22</v>
      </c>
      <c r="B103" s="0" t="s">
        <v>18</v>
      </c>
      <c r="C103" s="0" t="s">
        <v>15</v>
      </c>
      <c r="D103" s="0" t="s">
        <v>16</v>
      </c>
      <c r="E103" s="0" t="s">
        <v>21</v>
      </c>
      <c r="F103" s="1" t="n">
        <v>0</v>
      </c>
      <c r="G103" s="1" t="n">
        <v>0</v>
      </c>
      <c r="H103" s="1" t="n">
        <f aca="false">AVERAGE(F103:G103)</f>
        <v>0</v>
      </c>
      <c r="I103" s="1" t="n">
        <f aca="false">_xlfn.STDEV.S(F103:G103)</f>
        <v>0</v>
      </c>
    </row>
    <row r="104" customFormat="false" ht="12.8" hidden="false" customHeight="false" outlineLevel="0" collapsed="false">
      <c r="A104" s="0" t="s">
        <v>22</v>
      </c>
      <c r="B104" s="0" t="s">
        <v>18</v>
      </c>
      <c r="C104" s="0" t="s">
        <v>17</v>
      </c>
      <c r="D104" s="0" t="s">
        <v>12</v>
      </c>
      <c r="E104" s="0" t="s">
        <v>21</v>
      </c>
      <c r="F104" s="1" t="n">
        <v>60</v>
      </c>
      <c r="G104" s="1" t="n">
        <v>40</v>
      </c>
      <c r="H104" s="1" t="n">
        <f aca="false">AVERAGE(F104:G104)</f>
        <v>50</v>
      </c>
      <c r="I104" s="1" t="n">
        <f aca="false">_xlfn.STDEV.S(F104:G104)</f>
        <v>14.142135623731</v>
      </c>
    </row>
    <row r="105" customFormat="false" ht="12.8" hidden="false" customHeight="false" outlineLevel="0" collapsed="false">
      <c r="A105" s="0" t="s">
        <v>22</v>
      </c>
      <c r="B105" s="0" t="s">
        <v>19</v>
      </c>
      <c r="C105" s="0" t="s">
        <v>11</v>
      </c>
      <c r="D105" s="0" t="s">
        <v>12</v>
      </c>
      <c r="E105" s="0" t="s">
        <v>21</v>
      </c>
      <c r="F105" s="1" t="n">
        <v>250</v>
      </c>
      <c r="G105" s="1" t="n">
        <v>230</v>
      </c>
      <c r="H105" s="1" t="n">
        <f aca="false">AVERAGE(F105:G105)</f>
        <v>240</v>
      </c>
      <c r="I105" s="1" t="n">
        <f aca="false">_xlfn.STDEV.S(F105:G105)</f>
        <v>14.142135623731</v>
      </c>
    </row>
    <row r="106" customFormat="false" ht="12.8" hidden="false" customHeight="false" outlineLevel="0" collapsed="false">
      <c r="A106" s="0" t="s">
        <v>22</v>
      </c>
      <c r="B106" s="0" t="s">
        <v>19</v>
      </c>
      <c r="C106" s="0" t="s">
        <v>11</v>
      </c>
      <c r="D106" s="0" t="s">
        <v>12</v>
      </c>
      <c r="E106" s="0" t="s">
        <v>21</v>
      </c>
      <c r="F106" s="1" t="n">
        <v>210</v>
      </c>
      <c r="G106" s="1" t="n">
        <v>230</v>
      </c>
      <c r="H106" s="1" t="n">
        <f aca="false">AVERAGE(F106:G106)</f>
        <v>220</v>
      </c>
      <c r="I106" s="1" t="n">
        <f aca="false">_xlfn.STDEV.S(F106:G106)</f>
        <v>14.142135623731</v>
      </c>
    </row>
    <row r="107" customFormat="false" ht="12.8" hidden="false" customHeight="false" outlineLevel="0" collapsed="false">
      <c r="A107" s="0" t="s">
        <v>22</v>
      </c>
      <c r="B107" s="0" t="s">
        <v>19</v>
      </c>
      <c r="C107" s="0" t="s">
        <v>11</v>
      </c>
      <c r="D107" s="0" t="s">
        <v>12</v>
      </c>
      <c r="E107" s="0" t="s">
        <v>21</v>
      </c>
      <c r="F107" s="1" t="n">
        <v>340</v>
      </c>
      <c r="G107" s="1" t="n">
        <v>580</v>
      </c>
      <c r="H107" s="1" t="n">
        <f aca="false">AVERAGE(F107:G107)</f>
        <v>460</v>
      </c>
      <c r="I107" s="1" t="n">
        <f aca="false">_xlfn.STDEV.S(F107:G107)</f>
        <v>169.705627484771</v>
      </c>
    </row>
    <row r="108" customFormat="false" ht="12.8" hidden="false" customHeight="false" outlineLevel="0" collapsed="false">
      <c r="A108" s="0" t="s">
        <v>22</v>
      </c>
      <c r="B108" s="0" t="s">
        <v>19</v>
      </c>
      <c r="C108" s="0" t="s">
        <v>14</v>
      </c>
      <c r="D108" s="0" t="s">
        <v>12</v>
      </c>
      <c r="E108" s="0" t="s">
        <v>21</v>
      </c>
      <c r="F108" s="1" t="n">
        <v>470</v>
      </c>
      <c r="G108" s="1" t="n">
        <v>650</v>
      </c>
      <c r="H108" s="1" t="n">
        <f aca="false">AVERAGE(F108:G108)</f>
        <v>560</v>
      </c>
      <c r="I108" s="1" t="n">
        <f aca="false">_xlfn.STDEV.S(F108:G108)</f>
        <v>127.279220613579</v>
      </c>
    </row>
    <row r="109" customFormat="false" ht="12.8" hidden="false" customHeight="false" outlineLevel="0" collapsed="false">
      <c r="A109" s="0" t="s">
        <v>22</v>
      </c>
      <c r="B109" s="0" t="s">
        <v>19</v>
      </c>
      <c r="C109" s="0" t="s">
        <v>14</v>
      </c>
      <c r="D109" s="0" t="s">
        <v>12</v>
      </c>
      <c r="E109" s="0" t="s">
        <v>21</v>
      </c>
      <c r="F109" s="1" t="n">
        <v>60</v>
      </c>
      <c r="G109" s="1" t="n">
        <v>50</v>
      </c>
      <c r="H109" s="1" t="n">
        <f aca="false">AVERAGE(F109:G109)</f>
        <v>55</v>
      </c>
      <c r="I109" s="1" t="n">
        <f aca="false">_xlfn.STDEV.S(F109:G109)</f>
        <v>7.07106781186548</v>
      </c>
    </row>
    <row r="110" customFormat="false" ht="12.8" hidden="false" customHeight="false" outlineLevel="0" collapsed="false">
      <c r="A110" s="0" t="s">
        <v>22</v>
      </c>
      <c r="B110" s="0" t="s">
        <v>19</v>
      </c>
      <c r="C110" s="0" t="s">
        <v>14</v>
      </c>
      <c r="D110" s="0" t="s">
        <v>12</v>
      </c>
      <c r="E110" s="0" t="s">
        <v>21</v>
      </c>
      <c r="F110" s="1" t="n">
        <v>440</v>
      </c>
      <c r="G110" s="1" t="n">
        <v>490</v>
      </c>
      <c r="H110" s="1" t="n">
        <f aca="false">AVERAGE(F110:G110)</f>
        <v>465</v>
      </c>
      <c r="I110" s="1" t="n">
        <f aca="false">_xlfn.STDEV.S(F110:G110)</f>
        <v>35.3553390593274</v>
      </c>
    </row>
    <row r="111" customFormat="false" ht="12.8" hidden="false" customHeight="false" outlineLevel="0" collapsed="false">
      <c r="A111" s="0" t="s">
        <v>22</v>
      </c>
      <c r="B111" s="0" t="s">
        <v>19</v>
      </c>
      <c r="C111" s="0" t="s">
        <v>15</v>
      </c>
      <c r="D111" s="0" t="s">
        <v>16</v>
      </c>
      <c r="E111" s="0" t="s">
        <v>21</v>
      </c>
      <c r="F111" s="1" t="n">
        <v>0</v>
      </c>
      <c r="G111" s="1" t="n">
        <v>0</v>
      </c>
      <c r="H111" s="1" t="n">
        <f aca="false">AVERAGE(F111:G111)</f>
        <v>0</v>
      </c>
      <c r="I111" s="1" t="n">
        <f aca="false">_xlfn.STDEV.S(F111:G111)</f>
        <v>0</v>
      </c>
    </row>
    <row r="112" customFormat="false" ht="12.8" hidden="false" customHeight="false" outlineLevel="0" collapsed="false">
      <c r="A112" s="0" t="s">
        <v>22</v>
      </c>
      <c r="B112" s="0" t="s">
        <v>19</v>
      </c>
      <c r="C112" s="0" t="s">
        <v>17</v>
      </c>
      <c r="D112" s="0" t="s">
        <v>12</v>
      </c>
      <c r="E112" s="0" t="s">
        <v>21</v>
      </c>
      <c r="F112" s="1" t="n">
        <v>2000000</v>
      </c>
      <c r="G112" s="1" t="n">
        <v>2400000</v>
      </c>
      <c r="H112" s="1" t="n">
        <f aca="false">AVERAGE(F112:G112)</f>
        <v>2200000</v>
      </c>
      <c r="I112" s="1" t="n">
        <f aca="false">_xlfn.STDEV.S(F112:G112)</f>
        <v>282842.712474619</v>
      </c>
    </row>
    <row r="113" customFormat="false" ht="12.8" hidden="false" customHeight="false" outlineLevel="0" collapsed="false">
      <c r="A113" s="0" t="s">
        <v>22</v>
      </c>
      <c r="B113" s="0" t="s">
        <v>20</v>
      </c>
      <c r="C113" s="0" t="s">
        <v>14</v>
      </c>
      <c r="D113" s="0" t="s">
        <v>12</v>
      </c>
      <c r="E113" s="0" t="s">
        <v>21</v>
      </c>
      <c r="F113" s="1" t="n">
        <v>870</v>
      </c>
      <c r="G113" s="1" t="n">
        <v>1010</v>
      </c>
      <c r="H113" s="1" t="n">
        <f aca="false">AVERAGE(F113:G113)</f>
        <v>940</v>
      </c>
      <c r="I113" s="1" t="n">
        <f aca="false">_xlfn.STDEV.S(F113:G113)</f>
        <v>98.9949493661167</v>
      </c>
    </row>
    <row r="114" customFormat="false" ht="12.8" hidden="false" customHeight="false" outlineLevel="0" collapsed="false">
      <c r="A114" s="0" t="s">
        <v>22</v>
      </c>
      <c r="B114" s="0" t="s">
        <v>20</v>
      </c>
      <c r="C114" s="0" t="s">
        <v>14</v>
      </c>
      <c r="D114" s="0" t="s">
        <v>12</v>
      </c>
      <c r="E114" s="0" t="s">
        <v>21</v>
      </c>
      <c r="F114" s="1" t="n">
        <v>100</v>
      </c>
      <c r="G114" s="1" t="n">
        <v>40</v>
      </c>
      <c r="H114" s="1" t="n">
        <f aca="false">AVERAGE(F114:G114)</f>
        <v>70</v>
      </c>
      <c r="I114" s="1" t="n">
        <f aca="false">_xlfn.STDEV.S(F114:G114)</f>
        <v>42.4264068711929</v>
      </c>
    </row>
    <row r="115" customFormat="false" ht="12.8" hidden="false" customHeight="false" outlineLevel="0" collapsed="false">
      <c r="A115" s="0" t="s">
        <v>22</v>
      </c>
      <c r="B115" s="0" t="s">
        <v>20</v>
      </c>
      <c r="C115" s="0" t="s">
        <v>14</v>
      </c>
      <c r="D115" s="0" t="s">
        <v>12</v>
      </c>
      <c r="E115" s="0" t="s">
        <v>21</v>
      </c>
      <c r="F115" s="1" t="n">
        <v>420</v>
      </c>
      <c r="G115" s="1" t="n">
        <v>390</v>
      </c>
      <c r="H115" s="1" t="n">
        <f aca="false">AVERAGE(F115:G115)</f>
        <v>405</v>
      </c>
      <c r="I115" s="1" t="n">
        <f aca="false">_xlfn.STDEV.S(F115:G115)</f>
        <v>21.2132034355964</v>
      </c>
    </row>
    <row r="116" customFormat="false" ht="12.8" hidden="false" customHeight="false" outlineLevel="0" collapsed="false">
      <c r="A116" s="0" t="s">
        <v>22</v>
      </c>
      <c r="B116" s="0" t="s">
        <v>20</v>
      </c>
      <c r="C116" s="0" t="s">
        <v>15</v>
      </c>
      <c r="D116" s="0" t="s">
        <v>16</v>
      </c>
      <c r="E116" s="0" t="s">
        <v>21</v>
      </c>
      <c r="F116" s="1" t="n">
        <v>0</v>
      </c>
      <c r="G116" s="1" t="n">
        <v>0</v>
      </c>
      <c r="H116" s="1" t="n">
        <f aca="false">AVERAGE(F116:G116)</f>
        <v>0</v>
      </c>
      <c r="I116" s="1" t="n">
        <f aca="false">_xlfn.STDEV.S(F116:G116)</f>
        <v>0</v>
      </c>
    </row>
    <row r="117" customFormat="false" ht="12.8" hidden="false" customHeight="false" outlineLevel="0" collapsed="false">
      <c r="A117" s="0" t="s">
        <v>22</v>
      </c>
      <c r="B117" s="0" t="s">
        <v>20</v>
      </c>
      <c r="C117" s="0" t="s">
        <v>17</v>
      </c>
      <c r="D117" s="0" t="s">
        <v>12</v>
      </c>
      <c r="E117" s="0" t="s">
        <v>21</v>
      </c>
      <c r="F117" s="1" t="n">
        <v>2600000</v>
      </c>
      <c r="G117" s="1" t="n">
        <v>1500000</v>
      </c>
      <c r="H117" s="1" t="n">
        <f aca="false">AVERAGE(F117:G117)</f>
        <v>2050000</v>
      </c>
      <c r="I117" s="1" t="n">
        <f aca="false">_xlfn.STDEV.S(F117:G117)</f>
        <v>777817.459305202</v>
      </c>
    </row>
    <row r="118" customFormat="false" ht="12.8" hidden="false" customHeight="false" outlineLevel="0" collapsed="false">
      <c r="I11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2026-02-14T19:09:49Z</dcterms:created>
  <dc:creator/>
  <dc:description/>
  <dc:language>en-US</dc:language>
  <cp:lastModifiedBy/>
  <dcterms:modified xsi:type="dcterms:W3CDTF">2026-02-14T19:15:25Z</dcterms:modified>
  <cp:revision>3</cp:revision>
  <dc:subject/>
  <dc:title/>
</cp:coreProperties>
</file>